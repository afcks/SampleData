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Backup 1\Google Drive Transfer Files\Trainings\Metro\2025120809 - Basic Excel\Basic Excel\Basic Excel\"/>
    </mc:Choice>
  </mc:AlternateContent>
  <xr:revisionPtr revIDLastSave="0" documentId="13_ncr:1_{57BB3C4F-2F9A-451D-9FF0-823CE7FD1B00}" xr6:coauthVersionLast="47" xr6:coauthVersionMax="47" xr10:uidLastSave="{00000000-0000-0000-0000-000000000000}"/>
  <bookViews>
    <workbookView xWindow="-110" yWindow="-110" windowWidth="19420" windowHeight="10300" firstSheet="28" activeTab="30" xr2:uid="{00000000-000D-0000-FFFF-FFFF00000000}"/>
  </bookViews>
  <sheets>
    <sheet name="001 - Remove Formatting" sheetId="1" r:id="rId1"/>
    <sheet name="002 - Autofit Columns" sheetId="3" r:id="rId2"/>
    <sheet name="003 - Sum and Difference" sheetId="5" r:id="rId3"/>
    <sheet name="004 - Get the Net Income 1" sheetId="7" r:id="rId4"/>
    <sheet name="005 - Remove $" sheetId="10" r:id="rId5"/>
    <sheet name="006 - Get Net Income 2" sheetId="11" r:id="rId6"/>
    <sheet name="007 - Calculate change %" sheetId="12" r:id="rId7"/>
    <sheet name="008 - Avg Change %" sheetId="14" r:id="rId8"/>
    <sheet name="009 - Sort by Country" sheetId="15" r:id="rId9"/>
    <sheet name="010 - Finding Stable or Growth" sheetId="16" r:id="rId10"/>
    <sheet name="011 - Show by Remaks, Country" sheetId="17" r:id="rId11"/>
    <sheet name="012 - Conditionaly Color Remark" sheetId="18" r:id="rId12"/>
    <sheet name="012 - Conditionaly Color Re (2)" sheetId="44" r:id="rId13"/>
    <sheet name="013 - Show Up Down Arrows" sheetId="19" r:id="rId14"/>
    <sheet name="014 - Summarize Growth &amp; Stable" sheetId="20" r:id="rId15"/>
    <sheet name="015 - Concatenate Headings" sheetId="22" r:id="rId16"/>
    <sheet name="016 - Get Change % (Table)" sheetId="23" r:id="rId17"/>
    <sheet name="017 - Get Change % (Table) (2)" sheetId="24" r:id="rId18"/>
    <sheet name="018 - &lt;=  0 Red else Green" sheetId="26" r:id="rId19"/>
    <sheet name="019 - Color in First table" sheetId="27" r:id="rId20"/>
    <sheet name="020 - Lookup Price" sheetId="25" r:id="rId21"/>
    <sheet name="021 - Lookup Dept Name" sheetId="28" r:id="rId22"/>
    <sheet name="022 - 2 to 1 Table Lookup" sheetId="29" r:id="rId23"/>
    <sheet name="023 - Create Table" sheetId="31" r:id="rId24"/>
    <sheet name="024 - Lookup from other Sheet" sheetId="32" r:id="rId25"/>
    <sheet name="025 - Combine Names" sheetId="36" r:id="rId26"/>
    <sheet name="025 - Combine Names (2)" sheetId="46" r:id="rId27"/>
    <sheet name="026 - Split Names" sheetId="37" r:id="rId28"/>
    <sheet name="026 - Split Names (2)" sheetId="47" r:id="rId29"/>
    <sheet name="027 -Show Country in Caps" sheetId="38" r:id="rId30"/>
    <sheet name="028 - Cricketers in dropdown" sheetId="42" r:id="rId31"/>
  </sheets>
  <definedNames>
    <definedName name="_xlnm._FilterDatabase" localSheetId="14" hidden="1">'014 - Summarize Growth &amp; Stable'!$A$1:$D$21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7" l="1"/>
  <c r="C3" i="47"/>
  <c r="D3" i="47"/>
  <c r="B4" i="47"/>
  <c r="C4" i="47"/>
  <c r="D4" i="47"/>
  <c r="B5" i="47"/>
  <c r="C5" i="47"/>
  <c r="D5" i="47"/>
  <c r="B6" i="47"/>
  <c r="C6" i="47"/>
  <c r="D6" i="47"/>
  <c r="B7" i="47"/>
  <c r="C7" i="47"/>
  <c r="D7" i="47"/>
  <c r="B8" i="47"/>
  <c r="C8" i="47"/>
  <c r="D8" i="47"/>
  <c r="B9" i="47"/>
  <c r="C9" i="47"/>
  <c r="D9" i="47"/>
  <c r="B10" i="47"/>
  <c r="C10" i="47"/>
  <c r="D10" i="47"/>
  <c r="B11" i="47"/>
  <c r="C11" i="47"/>
  <c r="D11" i="47"/>
  <c r="B12" i="47"/>
  <c r="C12" i="47"/>
  <c r="D12" i="47"/>
  <c r="B13" i="47"/>
  <c r="C13" i="47"/>
  <c r="D13" i="47"/>
  <c r="B14" i="47"/>
  <c r="C14" i="47"/>
  <c r="D14" i="47"/>
  <c r="B15" i="47"/>
  <c r="C15" i="47"/>
  <c r="D15" i="47"/>
  <c r="B16" i="47"/>
  <c r="C16" i="47"/>
  <c r="D16" i="47"/>
  <c r="B17" i="47"/>
  <c r="C17" i="47"/>
  <c r="D17" i="47"/>
  <c r="B18" i="47"/>
  <c r="C18" i="47"/>
  <c r="D18" i="47"/>
  <c r="B19" i="47"/>
  <c r="C19" i="47"/>
  <c r="D19" i="47"/>
  <c r="B20" i="47"/>
  <c r="C20" i="47"/>
  <c r="D20" i="47"/>
  <c r="B21" i="47"/>
  <c r="C21" i="47"/>
  <c r="D21" i="47"/>
  <c r="D2" i="47"/>
  <c r="C2" i="47"/>
  <c r="B2" i="47"/>
  <c r="D3" i="46"/>
  <c r="E3" i="46"/>
  <c r="D4" i="46"/>
  <c r="E4" i="46"/>
  <c r="D5" i="46"/>
  <c r="E5" i="46"/>
  <c r="D6" i="46"/>
  <c r="E6" i="46"/>
  <c r="D7" i="46"/>
  <c r="E7" i="46"/>
  <c r="D8" i="46"/>
  <c r="E8" i="46"/>
  <c r="D9" i="46"/>
  <c r="E9" i="46"/>
  <c r="D10" i="46"/>
  <c r="E10" i="46"/>
  <c r="D11" i="46"/>
  <c r="E11" i="46"/>
  <c r="D12" i="46"/>
  <c r="E12" i="46"/>
  <c r="D13" i="46"/>
  <c r="E13" i="46"/>
  <c r="D14" i="46"/>
  <c r="E14" i="46"/>
  <c r="D15" i="46"/>
  <c r="E15" i="46"/>
  <c r="D16" i="46"/>
  <c r="E16" i="46"/>
  <c r="D17" i="46"/>
  <c r="E17" i="46"/>
  <c r="D18" i="46"/>
  <c r="E18" i="46"/>
  <c r="D19" i="46"/>
  <c r="E19" i="46"/>
  <c r="D20" i="46"/>
  <c r="E20" i="46"/>
  <c r="D21" i="46"/>
  <c r="E21" i="46"/>
  <c r="E2" i="46"/>
  <c r="D2" i="46"/>
  <c r="B2" i="32"/>
  <c r="B3" i="32"/>
  <c r="C3" i="32"/>
  <c r="D3" i="32"/>
  <c r="E3" i="32"/>
  <c r="B4" i="32"/>
  <c r="C4" i="32"/>
  <c r="D4" i="32"/>
  <c r="E4" i="32"/>
  <c r="B5" i="32"/>
  <c r="C5" i="32"/>
  <c r="D5" i="32"/>
  <c r="E5" i="32"/>
  <c r="E2" i="32"/>
  <c r="D2" i="32"/>
  <c r="C2" i="32"/>
  <c r="K2" i="29"/>
  <c r="L2" i="29" s="1"/>
  <c r="I3" i="29"/>
  <c r="J3" i="29"/>
  <c r="K3" i="29"/>
  <c r="L3" i="29"/>
  <c r="I4" i="29"/>
  <c r="J4" i="29"/>
  <c r="K4" i="29"/>
  <c r="L4" i="29"/>
  <c r="I5" i="29"/>
  <c r="J5" i="29"/>
  <c r="K5" i="29"/>
  <c r="L5" i="29"/>
  <c r="J2" i="29"/>
  <c r="I2" i="29"/>
  <c r="D2" i="28"/>
  <c r="D3" i="28"/>
  <c r="D4" i="28"/>
  <c r="D5" i="28"/>
  <c r="E2" i="25"/>
  <c r="E3" i="25"/>
  <c r="E4" i="25"/>
  <c r="E5" i="25"/>
  <c r="E6" i="25"/>
  <c r="D2" i="25"/>
  <c r="D3" i="25"/>
  <c r="D4" i="25"/>
  <c r="D5" i="25"/>
  <c r="D6" i="25"/>
  <c r="H2" i="20"/>
  <c r="H3" i="20"/>
  <c r="I3" i="20"/>
  <c r="I2" i="20"/>
  <c r="D2" i="19"/>
  <c r="D3" i="19"/>
  <c r="D4" i="19"/>
  <c r="D5" i="19"/>
  <c r="D6" i="19"/>
  <c r="D2" i="16"/>
  <c r="F2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" i="12"/>
  <c r="B27" i="7"/>
  <c r="B6" i="5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C26" i="11"/>
  <c r="B6" i="7"/>
  <c r="B9" i="7"/>
  <c r="B20" i="7"/>
  <c r="B25" i="7"/>
  <c r="B10" i="5"/>
  <c r="B28" i="5" s="1"/>
  <c r="B9" i="5"/>
  <c r="B21" i="5"/>
  <c r="B26" i="5"/>
</calcChain>
</file>

<file path=xl/sharedStrings.xml><?xml version="1.0" encoding="utf-8"?>
<sst xmlns="http://schemas.openxmlformats.org/spreadsheetml/2006/main" count="968" uniqueCount="249">
  <si>
    <t>Category</t>
  </si>
  <si>
    <t>Item Name</t>
  </si>
  <si>
    <t>Revenue</t>
  </si>
  <si>
    <t>Sales</t>
  </si>
  <si>
    <t>Services Revenue</t>
  </si>
  <si>
    <t>Other Revenue</t>
  </si>
  <si>
    <t>Cost of Goods Sold</t>
  </si>
  <si>
    <t>Gross Profit</t>
  </si>
  <si>
    <t>Operating Expenses</t>
  </si>
  <si>
    <t>Salaries and Wages</t>
  </si>
  <si>
    <t>Rent and Lease</t>
  </si>
  <si>
    <t>Utilities</t>
  </si>
  <si>
    <t>Marketing and Advertising</t>
  </si>
  <si>
    <t>Depreciation</t>
  </si>
  <si>
    <t>Other Operating Expenses</t>
  </si>
  <si>
    <t>Operating Income</t>
  </si>
  <si>
    <t>Non-Operating Income</t>
  </si>
  <si>
    <t>Interest Income</t>
  </si>
  <si>
    <t>Other Non-Operating Income</t>
  </si>
  <si>
    <t>Non-Operating Expenses</t>
  </si>
  <si>
    <t>Interest Expenses</t>
  </si>
  <si>
    <t>Taxes</t>
  </si>
  <si>
    <t>Other Non-Operating Expenses</t>
  </si>
  <si>
    <t>Net Income</t>
  </si>
  <si>
    <t>Amount ($)</t>
  </si>
  <si>
    <t>Sub Total A</t>
  </si>
  <si>
    <t>Sub Total B</t>
  </si>
  <si>
    <t>Gross Profit C = A - B</t>
  </si>
  <si>
    <t>Sub Total D</t>
  </si>
  <si>
    <t>Sub Total E</t>
  </si>
  <si>
    <t>Net Income F = C - D + E</t>
  </si>
  <si>
    <t>Type (Cr/Dr)</t>
  </si>
  <si>
    <t>Cr</t>
  </si>
  <si>
    <t>Dr</t>
  </si>
  <si>
    <t>Net Profit</t>
  </si>
  <si>
    <t>Amount ()</t>
  </si>
  <si>
    <t>Country</t>
  </si>
  <si>
    <t>Sales 2023 ($)</t>
  </si>
  <si>
    <t>Sales 2024 ($)</t>
  </si>
  <si>
    <t>United States</t>
  </si>
  <si>
    <t>China</t>
  </si>
  <si>
    <t>Japan</t>
  </si>
  <si>
    <t>Germany</t>
  </si>
  <si>
    <t>United Kingdom</t>
  </si>
  <si>
    <t>France</t>
  </si>
  <si>
    <t>India</t>
  </si>
  <si>
    <t>Brazil</t>
  </si>
  <si>
    <t>Canada</t>
  </si>
  <si>
    <t>Australia</t>
  </si>
  <si>
    <t>South Korea</t>
  </si>
  <si>
    <t>Italy</t>
  </si>
  <si>
    <t>Spain</t>
  </si>
  <si>
    <t>Mexico</t>
  </si>
  <si>
    <t>Netherlands</t>
  </si>
  <si>
    <t>Turkey</t>
  </si>
  <si>
    <t>Switzerland</t>
  </si>
  <si>
    <t>Russia</t>
  </si>
  <si>
    <t>Sweden</t>
  </si>
  <si>
    <t>Saudi Arabia</t>
  </si>
  <si>
    <t>Change</t>
  </si>
  <si>
    <t>Change %</t>
  </si>
  <si>
    <t>Average Change %</t>
  </si>
  <si>
    <t>If Change is less than equal to 7% write Stable if more than write Growth</t>
  </si>
  <si>
    <t>Growth</t>
  </si>
  <si>
    <t>Stable</t>
  </si>
  <si>
    <t>Remarks</t>
  </si>
  <si>
    <t>Product</t>
  </si>
  <si>
    <t>Smartphone X</t>
  </si>
  <si>
    <t>Laptop Y</t>
  </si>
  <si>
    <t>Smart TV Z</t>
  </si>
  <si>
    <t>Fitness Tracker</t>
  </si>
  <si>
    <t>Wireless Earbuds</t>
  </si>
  <si>
    <t>Sales 2023</t>
  </si>
  <si>
    <t>Sales 2024</t>
  </si>
  <si>
    <t xml:space="preserve"> Region    </t>
  </si>
  <si>
    <t xml:space="preserve"> North     </t>
  </si>
  <si>
    <t xml:space="preserve"> South     </t>
  </si>
  <si>
    <t xml:space="preserve"> East      </t>
  </si>
  <si>
    <t xml:space="preserve"> West      </t>
  </si>
  <si>
    <t>2022-2021</t>
  </si>
  <si>
    <t>2023-2022</t>
  </si>
  <si>
    <t>2024-2023</t>
  </si>
  <si>
    <t>Color Positive with Green and Negative with Red</t>
  </si>
  <si>
    <t>Order ID</t>
  </si>
  <si>
    <t>Quantity</t>
  </si>
  <si>
    <t>Price per Unit</t>
  </si>
  <si>
    <t>Product A</t>
  </si>
  <si>
    <t>Product B</t>
  </si>
  <si>
    <t>Product C</t>
  </si>
  <si>
    <t>Default Price</t>
  </si>
  <si>
    <t>Product D</t>
  </si>
  <si>
    <t>Amount</t>
  </si>
  <si>
    <t>Employee ID</t>
  </si>
  <si>
    <t>Employee Name</t>
  </si>
  <si>
    <t>Department ID</t>
  </si>
  <si>
    <t>Rajesh Kumar</t>
  </si>
  <si>
    <t>Priya Singh</t>
  </si>
  <si>
    <t>Sanjay Verma</t>
  </si>
  <si>
    <t>Neha Sharma</t>
  </si>
  <si>
    <t>Department Name</t>
  </si>
  <si>
    <t>Marketing</t>
  </si>
  <si>
    <t>Finance</t>
  </si>
  <si>
    <t>Machine ID</t>
  </si>
  <si>
    <t>Machine Name</t>
  </si>
  <si>
    <t>Production Quantity</t>
  </si>
  <si>
    <t>M101</t>
  </si>
  <si>
    <t>Machine A</t>
  </si>
  <si>
    <t>M102</t>
  </si>
  <si>
    <t>Machine B</t>
  </si>
  <si>
    <t>M103</t>
  </si>
  <si>
    <t>Machine C</t>
  </si>
  <si>
    <t>M104</t>
  </si>
  <si>
    <t>Machine D</t>
  </si>
  <si>
    <t>Rate</t>
  </si>
  <si>
    <t>Qty</t>
  </si>
  <si>
    <t>West</t>
  </si>
  <si>
    <t>South</t>
  </si>
  <si>
    <t>Virat Kohli (India)</t>
  </si>
  <si>
    <t>Steve Smith (Australia)</t>
  </si>
  <si>
    <t>Joe Root (England)</t>
  </si>
  <si>
    <t>Babar Azam (Pakistan)</t>
  </si>
  <si>
    <t>Jasprit Bumrah (India)</t>
  </si>
  <si>
    <t>Ben Stokes (England)</t>
  </si>
  <si>
    <t>David Warner (Australia)</t>
  </si>
  <si>
    <t>Rashid Khan (Afghanistan)</t>
  </si>
  <si>
    <t>Eoin Morgan (England)</t>
  </si>
  <si>
    <t>Pat Cummins (Australia)</t>
  </si>
  <si>
    <t>Mushfiqur Rahim (Bangladesh)</t>
  </si>
  <si>
    <t>Virat</t>
  </si>
  <si>
    <t>Steve</t>
  </si>
  <si>
    <t>Kane</t>
  </si>
  <si>
    <t>Joe</t>
  </si>
  <si>
    <t>Babar</t>
  </si>
  <si>
    <t>Quinton</t>
  </si>
  <si>
    <t>Jasprit</t>
  </si>
  <si>
    <t>Ben</t>
  </si>
  <si>
    <t>David</t>
  </si>
  <si>
    <t>Rashid</t>
  </si>
  <si>
    <t>Kohli</t>
  </si>
  <si>
    <t>Smith</t>
  </si>
  <si>
    <t>New</t>
  </si>
  <si>
    <t>Root</t>
  </si>
  <si>
    <t>Azam</t>
  </si>
  <si>
    <t>Bumrah</t>
  </si>
  <si>
    <t>Stokes</t>
  </si>
  <si>
    <t>Warner</t>
  </si>
  <si>
    <t>Khan</t>
  </si>
  <si>
    <t>New Zealand</t>
  </si>
  <si>
    <t>England</t>
  </si>
  <si>
    <t>Pakistan</t>
  </si>
  <si>
    <t>South Africa</t>
  </si>
  <si>
    <t>Afghanistan</t>
  </si>
  <si>
    <t>Ross</t>
  </si>
  <si>
    <t>Faf</t>
  </si>
  <si>
    <t>Shakib</t>
  </si>
  <si>
    <t>Eoin</t>
  </si>
  <si>
    <t>Pat</t>
  </si>
  <si>
    <t>Shai</t>
  </si>
  <si>
    <t>Mushfiqur</t>
  </si>
  <si>
    <t>Lasith</t>
  </si>
  <si>
    <t>Jason</t>
  </si>
  <si>
    <t>Kagiso</t>
  </si>
  <si>
    <t>Hasan</t>
  </si>
  <si>
    <t>Morgan</t>
  </si>
  <si>
    <t>Cummins</t>
  </si>
  <si>
    <t>Rahim</t>
  </si>
  <si>
    <t>Sri</t>
  </si>
  <si>
    <t>Bangladesh</t>
  </si>
  <si>
    <t>West Indies</t>
  </si>
  <si>
    <t>Sri Lanka</t>
  </si>
  <si>
    <t>First Name</t>
  </si>
  <si>
    <t>Last Name</t>
  </si>
  <si>
    <t>Kane New (New Zealand)</t>
  </si>
  <si>
    <t>Quinton South (South Africa)</t>
  </si>
  <si>
    <t>Ross New (New Zealand)</t>
  </si>
  <si>
    <t>Faf South (South Africa)</t>
  </si>
  <si>
    <t>Shakib Hasan (Bangladesh)</t>
  </si>
  <si>
    <t>Shai West (West Indies)</t>
  </si>
  <si>
    <t>Lasith Sri (Sri Lanka)</t>
  </si>
  <si>
    <t>Jason West (West Indies)</t>
  </si>
  <si>
    <t>Kagiso South (South Africa)</t>
  </si>
  <si>
    <t xml:space="preserve">Cricketers </t>
  </si>
  <si>
    <t>Show Criketers in List</t>
  </si>
  <si>
    <t>Ctrl + Page Down to navigate to right sheet</t>
  </si>
  <si>
    <t>Ctrl + Page Up to navigate to left sheet</t>
  </si>
  <si>
    <t>1. =sum(select the range)</t>
  </si>
  <si>
    <t>2. select the answer area and press Alt + =</t>
  </si>
  <si>
    <t>3. Select entire area keep the answer area blank at botton then</t>
  </si>
  <si>
    <t>press Alt + =</t>
  </si>
  <si>
    <t>Sum</t>
  </si>
  <si>
    <t>Ctrl + F to Find</t>
  </si>
  <si>
    <t>Down arrow in format and choose from cell to get a eye dropper</t>
  </si>
  <si>
    <t>Click the cell with the eye dropper to fetch the color of the cell</t>
  </si>
  <si>
    <t>Now click on Find All, Press Ctrl + A, Close the window</t>
  </si>
  <si>
    <t>Alt + = to auto sum in all the cells</t>
  </si>
  <si>
    <t>Select the Cell B2</t>
  </si>
  <si>
    <t>Press Shift and click on cell B27</t>
  </si>
  <si>
    <t>Alt + = to get the total of totals</t>
  </si>
  <si>
    <t>Click on c2 and scroll down press Shift and Click on C26 to select entire range</t>
  </si>
  <si>
    <t>Ctrl + H to Find and Replace</t>
  </si>
  <si>
    <t>clear earlier formatting</t>
  </si>
  <si>
    <t>Type $ in Find text box</t>
  </si>
  <si>
    <t>and keep the replace text box as blank</t>
  </si>
  <si>
    <t>and click on Replace All</t>
  </si>
  <si>
    <t>Ctrl + shift + 5% to convert number format to % style</t>
  </si>
  <si>
    <t xml:space="preserve">To Fill the content bring your cursor to bottom right of cell and </t>
  </si>
  <si>
    <t>double click</t>
  </si>
  <si>
    <t>Alt DS for Data Sort</t>
  </si>
  <si>
    <t>Ctrl + Enter while in single cell edit mode will keep you in the same cell</t>
  </si>
  <si>
    <t>Alt DS to sort</t>
  </si>
  <si>
    <t>Alt OD for Conditional Format</t>
  </si>
  <si>
    <t>Alt EAF</t>
  </si>
  <si>
    <t>Ctrl + Space to select entire column</t>
  </si>
  <si>
    <t>Shift + Space to select entire row</t>
  </si>
  <si>
    <t>Alt OCA to autofit the columns</t>
  </si>
  <si>
    <t>Alt ORA to autofit the rows</t>
  </si>
  <si>
    <t>Alt EL delete sheet</t>
  </si>
  <si>
    <t>Ctrl + D to fill down</t>
  </si>
  <si>
    <t>Ctrl + R to fill to right</t>
  </si>
  <si>
    <t>F4 2 times to fix row</t>
  </si>
  <si>
    <t>F4 3 times to fix column</t>
  </si>
  <si>
    <t>F4 to fix both row and column</t>
  </si>
  <si>
    <t>In vlookup v stands for Verticle,</t>
  </si>
  <si>
    <t>Ctrl + T to create a table</t>
  </si>
  <si>
    <t>Flash Fill the shortcut is Ctrl + E</t>
  </si>
  <si>
    <t>Answer</t>
  </si>
  <si>
    <t>virat.kohli@india.com</t>
  </si>
  <si>
    <t>steve.smith@australia.com</t>
  </si>
  <si>
    <t>joe.root@england.com</t>
  </si>
  <si>
    <t>babar.azam@pakistan.com</t>
  </si>
  <si>
    <t>jasprit.bumrah@india.com</t>
  </si>
  <si>
    <t>ben.stokes@england.com</t>
  </si>
  <si>
    <t>david.warner@australia.com</t>
  </si>
  <si>
    <t>rashid.khan@afghanistan.com</t>
  </si>
  <si>
    <t>shakib.hasan@bangladesh.com</t>
  </si>
  <si>
    <t>eoin.morgan@england.com</t>
  </si>
  <si>
    <t>pat.cummins@australia.com</t>
  </si>
  <si>
    <t>mushfiqur.rahim@bangladesh.com</t>
  </si>
  <si>
    <t>kane.new@new-zealand.com</t>
  </si>
  <si>
    <t>quinton.south@south-africa.com</t>
  </si>
  <si>
    <t>ross.new@new-zealand.com</t>
  </si>
  <si>
    <t>faf.south@south-africa.com</t>
  </si>
  <si>
    <t>shai.west@west-indies.com</t>
  </si>
  <si>
    <t>lasith.sri@sri-lanka.com</t>
  </si>
  <si>
    <t>jason.west@west-indies.com</t>
  </si>
  <si>
    <t>kagiso.south@south-africa.com</t>
  </si>
  <si>
    <t>Answer2</t>
  </si>
  <si>
    <t>Window + V</t>
  </si>
  <si>
    <t xml:space="preserve">Alt DL for Data Validation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</si>
</sst>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0" fillId="3" borderId="0" xfId="0" applyFill="1"/>
    <xf numFmtId="3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0" xfId="0" applyFont="1"/>
    <xf numFmtId="3" fontId="0" fillId="3" borderId="0" xfId="0" applyNumberFormat="1" applyFill="1"/>
    <xf numFmtId="9" fontId="0" fillId="3" borderId="0" xfId="0" applyNumberFormat="1" applyFill="1"/>
    <xf numFmtId="164" fontId="0" fillId="3" borderId="0" xfId="1" applyNumberFormat="1" applyFont="1" applyFill="1"/>
    <xf numFmtId="0" fontId="3" fillId="0" borderId="0" xfId="2"/>
  </cellXfs>
  <cellStyles count="3">
    <cellStyle name="Hyperlink" xfId="2" builtinId="8"/>
    <cellStyle name="Normal" xfId="0" builtinId="0"/>
    <cellStyle name="Percent" xfId="1" builtinId="5"/>
  </cellStyles>
  <dxfs count="4"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607391</xdr:colOff>
      <xdr:row>8</xdr:row>
      <xdr:rowOff>0</xdr:rowOff>
    </xdr:from>
    <xdr:to>
      <xdr:col>6</xdr:col>
      <xdr:colOff>558817</xdr:colOff>
      <xdr:row>13</xdr:row>
      <xdr:rowOff>3313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2A75AF-E275-298D-66A6-BDBFDB8C9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21043" y="1457739"/>
          <a:ext cx="17736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9</xdr:col>
      <xdr:colOff>241018</xdr:colOff>
      <xdr:row>8</xdr:row>
      <xdr:rowOff>72292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1272E3-6234-D3BA-3623-37D319074B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70923" y="185615"/>
          <a:ext cx="3811672" cy="1371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392906</xdr:colOff>
      <xdr:row>1</xdr:row>
      <xdr:rowOff>71437</xdr:rowOff>
    </xdr:from>
    <xdr:to>
      <xdr:col>8</xdr:col>
      <xdr:colOff>317501</xdr:colOff>
      <xdr:row>7</xdr:row>
      <xdr:rowOff>43655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2BD8E2-41CF-CBBA-738A-1E51EBB039B1}"/>
            </a:ext>
          </a:extLst>
        </xdr:cNvPr>
        <xdr:cNvSpPr txBox="1"/>
      </xdr:nvSpPr>
      <xdr:spPr>
        <a:xfrm>
          <a:off x="6262687" y="254000"/>
          <a:ext cx="2722564" cy="106759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In D2 and E2</a:t>
          </a:r>
          <a:r>
            <a:rPr lang="en-IN" sz="1100" baseline="0"/>
            <a:t> we have entered sample</a:t>
          </a:r>
        </a:p>
        <a:p>
          <a:r>
            <a:rPr lang="en-IN" sz="1100" baseline="0"/>
            <a:t>results. create a formula to get similar</a:t>
          </a:r>
        </a:p>
        <a:p>
          <a:r>
            <a:rPr lang="en-IN" sz="1100" baseline="0"/>
            <a:t>answers for d and e column.</a:t>
          </a:r>
        </a:p>
        <a:p>
          <a:r>
            <a:rPr lang="en-IN" sz="1100"/>
            <a:t>in E column when the country name is having a space then replace it with a _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350920</xdr:colOff>
      <xdr:row>0</xdr:row>
      <xdr:rowOff>120316</xdr:rowOff>
    </xdr:from>
    <xdr:to>
      <xdr:col>8</xdr:col>
      <xdr:colOff>591552</xdr:colOff>
      <xdr:row>5</xdr:row>
      <xdr:rowOff>63500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E11FF62-A2B7-42E1-9843-58EB4D36508B}"/>
            </a:ext>
          </a:extLst>
        </xdr:cNvPr>
        <xdr:cNvSpPr txBox="1"/>
      </xdr:nvSpPr>
      <xdr:spPr>
        <a:xfrm>
          <a:off x="4374815" y="120316"/>
          <a:ext cx="2673684" cy="86226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1100"/>
            <a:t>In B2,</a:t>
          </a:r>
          <a:r>
            <a:rPr lang="en-IN" sz="1100" baseline="0"/>
            <a:t> C2 &amp; D2 we have entered sample</a:t>
          </a:r>
        </a:p>
        <a:p>
          <a:r>
            <a:rPr lang="en-IN" sz="1100" baseline="0"/>
            <a:t>results. create a formula to get similar</a:t>
          </a:r>
        </a:p>
        <a:p>
          <a:r>
            <a:rPr lang="en-IN" sz="1100" baseline="0"/>
            <a:t>answers for B till D column.</a:t>
          </a:r>
        </a:p>
        <a:p>
          <a:r>
            <a:rPr lang="en-IN" sz="1100" baseline="0"/>
            <a:t>Answer should be in Capital Letters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C545F4-1D94-4B07-B396-1BEE8086C4D3}" name="Machine_Qty" displayName="Machine_Qty" ref="A1:C5" totalsRowShown="0">
  <autoFilter ref="A1:C5" xr:uid="{28C545F4-1D94-4B07-B396-1BEE8086C4D3}"/>
  <tableColumns count="3">
    <tableColumn id="1" xr3:uid="{44A33598-E111-4D10-A7D3-E118BE6A0860}" name="Machine ID"/>
    <tableColumn id="2" xr3:uid="{B66A3224-9D22-4FED-AD81-54FE806975FF}" name="Machine Name"/>
    <tableColumn id="3" xr3:uid="{C8E1A979-FBA7-4E4A-B202-CCB9D8587911}" name="Production 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5BF658-54E7-48E2-AB7A-589EAAD33823}" name="Machine_Rate" displayName="Machine_Rate" ref="A8:B12" totalsRowShown="0">
  <autoFilter ref="A8:B12" xr:uid="{5C5BF658-54E7-48E2-AB7A-589EAAD33823}"/>
  <tableColumns count="2">
    <tableColumn id="1" xr3:uid="{284BA073-9B13-4DC8-82B1-7D378D255B9F}" name="Machine ID"/>
    <tableColumn id="2" xr3:uid="{D92EE2A2-4DAD-4B1A-9176-5977333A0028}" name="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hyperlink" Target="mailto:ben.stokes@england.com" TargetMode="External"/><Relationship Id="rId13" Type="http://schemas.openxmlformats.org/officeDocument/2006/relationships/hyperlink" Target="mailto:shakib.hasan@bangladesh.com" TargetMode="External"/><Relationship Id="rId18" Type="http://schemas.openxmlformats.org/officeDocument/2006/relationships/hyperlink" Target="mailto:lasith.sri@sri-lanka.com" TargetMode="External"/><Relationship Id="rId3" Type="http://schemas.openxmlformats.org/officeDocument/2006/relationships/hyperlink" Target="mailto:kane.new@new-zealand.com" TargetMode="External"/><Relationship Id="rId7" Type="http://schemas.openxmlformats.org/officeDocument/2006/relationships/hyperlink" Target="mailto:jasprit.bumrah@india.com" TargetMode="External"/><Relationship Id="rId12" Type="http://schemas.openxmlformats.org/officeDocument/2006/relationships/hyperlink" Target="mailto:faf.south@south-africa.com" TargetMode="External"/><Relationship Id="rId17" Type="http://schemas.openxmlformats.org/officeDocument/2006/relationships/hyperlink" Target="mailto:mushfiqur.rahim@bangladesh.com" TargetMode="External"/><Relationship Id="rId2" Type="http://schemas.openxmlformats.org/officeDocument/2006/relationships/hyperlink" Target="mailto:steve.smith@australia.com" TargetMode="External"/><Relationship Id="rId16" Type="http://schemas.openxmlformats.org/officeDocument/2006/relationships/hyperlink" Target="mailto:shai.west@west-indies.com" TargetMode="External"/><Relationship Id="rId20" Type="http://schemas.openxmlformats.org/officeDocument/2006/relationships/hyperlink" Target="mailto:kagiso.south@south-africa.com" TargetMode="External"/><Relationship Id="rId1" Type="http://schemas.openxmlformats.org/officeDocument/2006/relationships/hyperlink" Target="mailto:virat.kohli@india.com" TargetMode="External"/><Relationship Id="rId6" Type="http://schemas.openxmlformats.org/officeDocument/2006/relationships/hyperlink" Target="mailto:quinton.south@south-africa.com" TargetMode="External"/><Relationship Id="rId11" Type="http://schemas.openxmlformats.org/officeDocument/2006/relationships/hyperlink" Target="mailto:ross.new@new-zealand.com" TargetMode="External"/><Relationship Id="rId5" Type="http://schemas.openxmlformats.org/officeDocument/2006/relationships/hyperlink" Target="mailto:babar.azam@pakistan.com" TargetMode="External"/><Relationship Id="rId15" Type="http://schemas.openxmlformats.org/officeDocument/2006/relationships/hyperlink" Target="mailto:pat.cummins@australia.com" TargetMode="External"/><Relationship Id="rId10" Type="http://schemas.openxmlformats.org/officeDocument/2006/relationships/hyperlink" Target="mailto:rashid.khan@afghanistan.com" TargetMode="External"/><Relationship Id="rId19" Type="http://schemas.openxmlformats.org/officeDocument/2006/relationships/hyperlink" Target="mailto:jason.west@west-indies.com" TargetMode="External"/><Relationship Id="rId4" Type="http://schemas.openxmlformats.org/officeDocument/2006/relationships/hyperlink" Target="mailto:joe.root@england.com" TargetMode="External"/><Relationship Id="rId9" Type="http://schemas.openxmlformats.org/officeDocument/2006/relationships/hyperlink" Target="mailto:david.warner@australia.com" TargetMode="External"/><Relationship Id="rId14" Type="http://schemas.openxmlformats.org/officeDocument/2006/relationships/hyperlink" Target="mailto:eoin.morgan@england.com" TargetMode="Externa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26"/>
  <sheetViews>
    <sheetView zoomScale="190" zoomScaleNormal="190" workbookViewId="0">
      <selection activeCell="E3" sqref="E3"/>
    </sheetView>
  </sheetViews>
  <sheetFormatPr defaultRowHeight="14.5" x14ac:dyDescent="0.35"/>
  <cols>
    <col min="1" max="1" width="8.6328125" bestFit="1" customWidth="1"/>
    <col min="2" max="2" width="8.7265625" bestFit="1" customWidth="1"/>
    <col min="3" max="6" width="8.81640625" customWidth="1"/>
  </cols>
  <sheetData>
    <row r="1" spans="1:5" x14ac:dyDescent="0.35">
      <c r="A1" t="s">
        <v>0</v>
      </c>
      <c r="B1" t="s">
        <v>1</v>
      </c>
      <c r="E1" t="s">
        <v>211</v>
      </c>
    </row>
    <row r="2" spans="1:5" x14ac:dyDescent="0.35">
      <c r="A2" t="s">
        <v>2</v>
      </c>
    </row>
    <row r="3" spans="1:5" x14ac:dyDescent="0.35">
      <c r="B3" t="s">
        <v>3</v>
      </c>
    </row>
    <row r="4" spans="1:5" x14ac:dyDescent="0.35">
      <c r="B4" t="s">
        <v>4</v>
      </c>
    </row>
    <row r="5" spans="1:5" x14ac:dyDescent="0.35">
      <c r="B5" t="s">
        <v>5</v>
      </c>
    </row>
    <row r="6" spans="1:5" x14ac:dyDescent="0.35">
      <c r="A6" t="s">
        <v>6</v>
      </c>
    </row>
    <row r="7" spans="1:5" x14ac:dyDescent="0.35">
      <c r="B7" t="s">
        <v>6</v>
      </c>
    </row>
    <row r="8" spans="1:5" x14ac:dyDescent="0.35">
      <c r="B8" t="s">
        <v>7</v>
      </c>
    </row>
    <row r="9" spans="1:5" x14ac:dyDescent="0.35">
      <c r="A9" t="s">
        <v>8</v>
      </c>
    </row>
    <row r="10" spans="1:5" x14ac:dyDescent="0.35">
      <c r="B10" t="s">
        <v>9</v>
      </c>
    </row>
    <row r="11" spans="1:5" x14ac:dyDescent="0.35">
      <c r="B11" t="s">
        <v>10</v>
      </c>
    </row>
    <row r="12" spans="1:5" x14ac:dyDescent="0.35">
      <c r="B12" t="s">
        <v>11</v>
      </c>
    </row>
    <row r="13" spans="1:5" x14ac:dyDescent="0.35">
      <c r="B13" t="s">
        <v>12</v>
      </c>
    </row>
    <row r="14" spans="1:5" x14ac:dyDescent="0.35">
      <c r="B14" t="s">
        <v>13</v>
      </c>
    </row>
    <row r="15" spans="1:5" x14ac:dyDescent="0.35">
      <c r="B15" t="s">
        <v>14</v>
      </c>
    </row>
    <row r="16" spans="1:5" x14ac:dyDescent="0.35">
      <c r="A16" t="s">
        <v>15</v>
      </c>
    </row>
    <row r="17" spans="1:2" x14ac:dyDescent="0.35">
      <c r="B17" t="s">
        <v>15</v>
      </c>
    </row>
    <row r="18" spans="1:2" x14ac:dyDescent="0.35">
      <c r="A18" t="s">
        <v>16</v>
      </c>
    </row>
    <row r="19" spans="1:2" x14ac:dyDescent="0.35">
      <c r="B19" t="s">
        <v>17</v>
      </c>
    </row>
    <row r="20" spans="1:2" x14ac:dyDescent="0.35">
      <c r="B20" t="s">
        <v>18</v>
      </c>
    </row>
    <row r="21" spans="1:2" x14ac:dyDescent="0.35">
      <c r="A21" t="s">
        <v>19</v>
      </c>
    </row>
    <row r="22" spans="1:2" x14ac:dyDescent="0.35">
      <c r="B22" t="s">
        <v>20</v>
      </c>
    </row>
    <row r="23" spans="1:2" x14ac:dyDescent="0.35">
      <c r="B23" t="s">
        <v>21</v>
      </c>
    </row>
    <row r="24" spans="1:2" x14ac:dyDescent="0.35">
      <c r="B24" t="s">
        <v>22</v>
      </c>
    </row>
    <row r="25" spans="1:2" x14ac:dyDescent="0.35">
      <c r="A25" t="s">
        <v>23</v>
      </c>
    </row>
    <row r="26" spans="1:2" x14ac:dyDescent="0.35">
      <c r="B2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C0BB4-4773-48E8-A19B-13E0486D006E}">
  <sheetPr codeName="Sheet2"/>
  <dimension ref="A1:F26"/>
  <sheetViews>
    <sheetView zoomScale="160" zoomScaleNormal="160" workbookViewId="0">
      <selection activeCell="B5" sqref="B5"/>
    </sheetView>
  </sheetViews>
  <sheetFormatPr defaultRowHeight="14.5" x14ac:dyDescent="0.35"/>
  <cols>
    <col min="1" max="1" width="21.6328125" bestFit="1" customWidth="1"/>
    <col min="2" max="2" width="27" bestFit="1" customWidth="1"/>
    <col min="3" max="6" width="8.81640625" customWidth="1"/>
  </cols>
  <sheetData>
    <row r="1" spans="1:6" x14ac:dyDescent="0.35">
      <c r="A1" t="s">
        <v>0</v>
      </c>
      <c r="B1" t="s">
        <v>1</v>
      </c>
      <c r="F1" t="s">
        <v>183</v>
      </c>
    </row>
    <row r="2" spans="1:6" x14ac:dyDescent="0.35">
      <c r="A2" t="s">
        <v>2</v>
      </c>
      <c r="F2" t="s">
        <v>184</v>
      </c>
    </row>
    <row r="3" spans="1:6" x14ac:dyDescent="0.35">
      <c r="B3" t="s">
        <v>3</v>
      </c>
    </row>
    <row r="4" spans="1:6" x14ac:dyDescent="0.35">
      <c r="B4" t="s">
        <v>4</v>
      </c>
      <c r="F4" t="s">
        <v>212</v>
      </c>
    </row>
    <row r="5" spans="1:6" x14ac:dyDescent="0.35">
      <c r="B5" t="s">
        <v>5</v>
      </c>
      <c r="F5" t="s">
        <v>213</v>
      </c>
    </row>
    <row r="6" spans="1:6" x14ac:dyDescent="0.35">
      <c r="A6" t="s">
        <v>6</v>
      </c>
    </row>
    <row r="7" spans="1:6" x14ac:dyDescent="0.35">
      <c r="B7" t="s">
        <v>6</v>
      </c>
      <c r="F7" t="s">
        <v>214</v>
      </c>
    </row>
    <row r="8" spans="1:6" x14ac:dyDescent="0.35">
      <c r="B8" t="s">
        <v>7</v>
      </c>
      <c r="F8" t="s">
        <v>215</v>
      </c>
    </row>
    <row r="9" spans="1:6" x14ac:dyDescent="0.35">
      <c r="A9" t="s">
        <v>8</v>
      </c>
    </row>
    <row r="10" spans="1:6" x14ac:dyDescent="0.35">
      <c r="B10" t="s">
        <v>9</v>
      </c>
    </row>
    <row r="11" spans="1:6" x14ac:dyDescent="0.35">
      <c r="B11" t="s">
        <v>10</v>
      </c>
    </row>
    <row r="12" spans="1:6" x14ac:dyDescent="0.35">
      <c r="B12" t="s">
        <v>11</v>
      </c>
    </row>
    <row r="13" spans="1:6" x14ac:dyDescent="0.35">
      <c r="B13" t="s">
        <v>12</v>
      </c>
    </row>
    <row r="14" spans="1:6" x14ac:dyDescent="0.35">
      <c r="B14" t="s">
        <v>13</v>
      </c>
    </row>
    <row r="15" spans="1:6" x14ac:dyDescent="0.35">
      <c r="B15" t="s">
        <v>14</v>
      </c>
    </row>
    <row r="16" spans="1:6" x14ac:dyDescent="0.35">
      <c r="A16" t="s">
        <v>15</v>
      </c>
    </row>
    <row r="17" spans="1:2" x14ac:dyDescent="0.35">
      <c r="B17" t="s">
        <v>15</v>
      </c>
    </row>
    <row r="18" spans="1:2" x14ac:dyDescent="0.35">
      <c r="A18" t="s">
        <v>16</v>
      </c>
    </row>
    <row r="19" spans="1:2" x14ac:dyDescent="0.35">
      <c r="B19" t="s">
        <v>17</v>
      </c>
    </row>
    <row r="20" spans="1:2" x14ac:dyDescent="0.35">
      <c r="B20" t="s">
        <v>18</v>
      </c>
    </row>
    <row r="21" spans="1:2" x14ac:dyDescent="0.35">
      <c r="A21" t="s">
        <v>19</v>
      </c>
    </row>
    <row r="22" spans="1:2" x14ac:dyDescent="0.35">
      <c r="B22" t="s">
        <v>20</v>
      </c>
    </row>
    <row r="23" spans="1:2" x14ac:dyDescent="0.35">
      <c r="B23" t="s">
        <v>21</v>
      </c>
    </row>
    <row r="24" spans="1:2" x14ac:dyDescent="0.35">
      <c r="B24" t="s">
        <v>22</v>
      </c>
    </row>
    <row r="25" spans="1:2" x14ac:dyDescent="0.35">
      <c r="A25" t="s">
        <v>23</v>
      </c>
    </row>
    <row r="26" spans="1:2" x14ac:dyDescent="0.35">
      <c r="B26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6CBE-9EEB-472A-AFDA-998487B6F670}">
  <sheetPr codeName="Sheet3"/>
  <dimension ref="A1:E28"/>
  <sheetViews>
    <sheetView zoomScale="145" zoomScaleNormal="145" workbookViewId="0">
      <selection activeCell="C4" sqref="C4"/>
    </sheetView>
  </sheetViews>
  <sheetFormatPr defaultRowHeight="14.5" x14ac:dyDescent="0.35"/>
  <cols>
    <col min="1" max="1" width="27" bestFit="1" customWidth="1"/>
    <col min="2" max="2" width="10.26953125" bestFit="1" customWidth="1"/>
  </cols>
  <sheetData>
    <row r="1" spans="1:5" x14ac:dyDescent="0.35">
      <c r="A1" t="s">
        <v>1</v>
      </c>
      <c r="B1" t="s">
        <v>24</v>
      </c>
      <c r="E1" s="12" t="s">
        <v>189</v>
      </c>
    </row>
    <row r="2" spans="1:5" x14ac:dyDescent="0.35">
      <c r="E2" t="s">
        <v>185</v>
      </c>
    </row>
    <row r="3" spans="1:5" x14ac:dyDescent="0.35">
      <c r="A3" t="s">
        <v>3</v>
      </c>
      <c r="B3">
        <v>150000</v>
      </c>
      <c r="E3" t="s">
        <v>186</v>
      </c>
    </row>
    <row r="4" spans="1:5" x14ac:dyDescent="0.35">
      <c r="A4" t="s">
        <v>4</v>
      </c>
      <c r="B4">
        <v>25000</v>
      </c>
      <c r="E4" t="s">
        <v>187</v>
      </c>
    </row>
    <row r="5" spans="1:5" x14ac:dyDescent="0.35">
      <c r="A5" t="s">
        <v>5</v>
      </c>
      <c r="B5">
        <v>5000</v>
      </c>
      <c r="E5" t="s">
        <v>188</v>
      </c>
    </row>
    <row r="6" spans="1:5" x14ac:dyDescent="0.35">
      <c r="A6" t="s">
        <v>25</v>
      </c>
      <c r="B6" s="1">
        <f>SUM(B3:B5)</f>
        <v>180000</v>
      </c>
    </row>
    <row r="8" spans="1:5" x14ac:dyDescent="0.35">
      <c r="A8" t="s">
        <v>6</v>
      </c>
      <c r="B8">
        <v>60000</v>
      </c>
      <c r="E8" t="s">
        <v>190</v>
      </c>
    </row>
    <row r="9" spans="1:5" x14ac:dyDescent="0.35">
      <c r="A9" t="s">
        <v>26</v>
      </c>
      <c r="B9" s="1">
        <f>SUM(B8)</f>
        <v>60000</v>
      </c>
    </row>
    <row r="10" spans="1:5" x14ac:dyDescent="0.35">
      <c r="A10" t="s">
        <v>27</v>
      </c>
      <c r="B10" s="2">
        <f>B6-B9</f>
        <v>120000</v>
      </c>
    </row>
    <row r="12" spans="1:5" x14ac:dyDescent="0.35">
      <c r="A12" t="s">
        <v>9</v>
      </c>
      <c r="B12">
        <v>30000</v>
      </c>
    </row>
    <row r="13" spans="1:5" x14ac:dyDescent="0.35">
      <c r="A13" t="s">
        <v>10</v>
      </c>
      <c r="B13">
        <v>15000</v>
      </c>
    </row>
    <row r="14" spans="1:5" x14ac:dyDescent="0.35">
      <c r="A14" t="s">
        <v>11</v>
      </c>
      <c r="B14">
        <v>2000</v>
      </c>
    </row>
    <row r="15" spans="1:5" x14ac:dyDescent="0.35">
      <c r="A15" t="s">
        <v>12</v>
      </c>
      <c r="B15">
        <v>10000</v>
      </c>
      <c r="E15" t="s">
        <v>191</v>
      </c>
    </row>
    <row r="16" spans="1:5" x14ac:dyDescent="0.35">
      <c r="A16" t="s">
        <v>13</v>
      </c>
      <c r="B16">
        <v>8000</v>
      </c>
      <c r="E16" t="s">
        <v>192</v>
      </c>
    </row>
    <row r="17" spans="1:5" x14ac:dyDescent="0.35">
      <c r="A17" t="s">
        <v>14</v>
      </c>
      <c r="B17">
        <v>5000</v>
      </c>
      <c r="E17" t="s">
        <v>193</v>
      </c>
    </row>
    <row r="18" spans="1:5" x14ac:dyDescent="0.35">
      <c r="A18" t="s">
        <v>20</v>
      </c>
      <c r="B18">
        <v>1500</v>
      </c>
      <c r="E18" t="s">
        <v>194</v>
      </c>
    </row>
    <row r="19" spans="1:5" x14ac:dyDescent="0.35">
      <c r="A19" t="s">
        <v>21</v>
      </c>
      <c r="B19">
        <v>10000</v>
      </c>
    </row>
    <row r="20" spans="1:5" x14ac:dyDescent="0.35">
      <c r="A20" t="s">
        <v>22</v>
      </c>
      <c r="B20">
        <v>500</v>
      </c>
    </row>
    <row r="21" spans="1:5" x14ac:dyDescent="0.35">
      <c r="A21" t="s">
        <v>28</v>
      </c>
      <c r="B21" s="1">
        <f>SUM(B12:B20)</f>
        <v>82000</v>
      </c>
    </row>
    <row r="23" spans="1:5" x14ac:dyDescent="0.35">
      <c r="A23" t="s">
        <v>15</v>
      </c>
      <c r="B23">
        <v>50000</v>
      </c>
    </row>
    <row r="24" spans="1:5" x14ac:dyDescent="0.35">
      <c r="A24" t="s">
        <v>17</v>
      </c>
      <c r="B24">
        <v>2000</v>
      </c>
    </row>
    <row r="25" spans="1:5" x14ac:dyDescent="0.35">
      <c r="A25" t="s">
        <v>18</v>
      </c>
      <c r="B25">
        <v>1000</v>
      </c>
    </row>
    <row r="26" spans="1:5" x14ac:dyDescent="0.35">
      <c r="A26" t="s">
        <v>29</v>
      </c>
      <c r="B26" s="1">
        <f>SUM(B23:B25)</f>
        <v>53000</v>
      </c>
    </row>
    <row r="28" spans="1:5" x14ac:dyDescent="0.35">
      <c r="A28" t="s">
        <v>30</v>
      </c>
      <c r="B28" s="2">
        <f>B10-B21+B26</f>
        <v>91000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07E18-C4CA-471A-BB9D-6ECB50A2B4E5}">
  <sheetPr codeName="Sheet4"/>
  <dimension ref="A1:F27"/>
  <sheetViews>
    <sheetView topLeftCell="A13" workbookViewId="0">
      <selection activeCell="B27" sqref="B27"/>
    </sheetView>
  </sheetViews>
  <sheetFormatPr defaultRowHeight="14.5" x14ac:dyDescent="0.35"/>
  <cols>
    <col min="1" max="1" width="27" bestFit="1" customWidth="1"/>
    <col min="2" max="2" width="10.26953125" bestFit="1" customWidth="1"/>
  </cols>
  <sheetData>
    <row r="1" spans="1:6" x14ac:dyDescent="0.35">
      <c r="A1" t="s">
        <v>1</v>
      </c>
      <c r="B1" t="s">
        <v>24</v>
      </c>
    </row>
    <row r="3" spans="1:6" x14ac:dyDescent="0.35">
      <c r="A3" t="s">
        <v>3</v>
      </c>
      <c r="B3">
        <v>150000</v>
      </c>
    </row>
    <row r="4" spans="1:6" x14ac:dyDescent="0.35">
      <c r="A4" t="s">
        <v>4</v>
      </c>
      <c r="B4">
        <v>25000</v>
      </c>
    </row>
    <row r="5" spans="1:6" x14ac:dyDescent="0.35">
      <c r="A5" t="s">
        <v>5</v>
      </c>
      <c r="B5">
        <v>5000</v>
      </c>
    </row>
    <row r="6" spans="1:6" x14ac:dyDescent="0.35">
      <c r="A6" t="s">
        <v>25</v>
      </c>
      <c r="B6" s="1">
        <f>SUM(B3:B5)</f>
        <v>180000</v>
      </c>
    </row>
    <row r="8" spans="1:6" x14ac:dyDescent="0.35">
      <c r="A8" t="s">
        <v>6</v>
      </c>
      <c r="B8">
        <v>-60000</v>
      </c>
    </row>
    <row r="9" spans="1:6" x14ac:dyDescent="0.35">
      <c r="A9" t="s">
        <v>26</v>
      </c>
      <c r="B9" s="1">
        <f>SUM(B8)</f>
        <v>-60000</v>
      </c>
    </row>
    <row r="11" spans="1:6" x14ac:dyDescent="0.35">
      <c r="A11" t="s">
        <v>9</v>
      </c>
      <c r="B11">
        <v>-30000</v>
      </c>
    </row>
    <row r="12" spans="1:6" x14ac:dyDescent="0.35">
      <c r="A12" t="s">
        <v>10</v>
      </c>
      <c r="B12">
        <v>-15000</v>
      </c>
    </row>
    <row r="13" spans="1:6" x14ac:dyDescent="0.35">
      <c r="A13" t="s">
        <v>11</v>
      </c>
      <c r="B13">
        <v>-2000</v>
      </c>
    </row>
    <row r="14" spans="1:6" x14ac:dyDescent="0.35">
      <c r="A14" t="s">
        <v>12</v>
      </c>
      <c r="B14">
        <v>-10000</v>
      </c>
      <c r="F14" t="s">
        <v>195</v>
      </c>
    </row>
    <row r="15" spans="1:6" x14ac:dyDescent="0.35">
      <c r="A15" t="s">
        <v>13</v>
      </c>
      <c r="B15">
        <v>-8000</v>
      </c>
      <c r="F15" t="s">
        <v>196</v>
      </c>
    </row>
    <row r="16" spans="1:6" x14ac:dyDescent="0.35">
      <c r="A16" t="s">
        <v>14</v>
      </c>
      <c r="B16">
        <v>-5000</v>
      </c>
      <c r="F16" t="s">
        <v>197</v>
      </c>
    </row>
    <row r="17" spans="1:2" x14ac:dyDescent="0.35">
      <c r="A17" t="s">
        <v>20</v>
      </c>
      <c r="B17">
        <v>-1500</v>
      </c>
    </row>
    <row r="18" spans="1:2" x14ac:dyDescent="0.35">
      <c r="A18" t="s">
        <v>21</v>
      </c>
      <c r="B18">
        <v>-10000</v>
      </c>
    </row>
    <row r="19" spans="1:2" x14ac:dyDescent="0.35">
      <c r="A19" t="s">
        <v>22</v>
      </c>
      <c r="B19">
        <v>-500</v>
      </c>
    </row>
    <row r="20" spans="1:2" x14ac:dyDescent="0.35">
      <c r="A20" t="s">
        <v>28</v>
      </c>
      <c r="B20" s="1">
        <f>SUM(B11:B19)</f>
        <v>-82000</v>
      </c>
    </row>
    <row r="22" spans="1:2" x14ac:dyDescent="0.35">
      <c r="A22" t="s">
        <v>15</v>
      </c>
      <c r="B22">
        <v>50000</v>
      </c>
    </row>
    <row r="23" spans="1:2" x14ac:dyDescent="0.35">
      <c r="A23" t="s">
        <v>17</v>
      </c>
      <c r="B23">
        <v>2000</v>
      </c>
    </row>
    <row r="24" spans="1:2" x14ac:dyDescent="0.35">
      <c r="A24" t="s">
        <v>18</v>
      </c>
      <c r="B24">
        <v>1000</v>
      </c>
    </row>
    <row r="25" spans="1:2" x14ac:dyDescent="0.35">
      <c r="A25" t="s">
        <v>29</v>
      </c>
      <c r="B25" s="1">
        <f>SUM(B22:B24)</f>
        <v>53000</v>
      </c>
    </row>
    <row r="27" spans="1:2" x14ac:dyDescent="0.35">
      <c r="A27" t="s">
        <v>23</v>
      </c>
      <c r="B27" s="2">
        <f>SUM(B25,B20,B9,B6)</f>
        <v>91000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3D2AC-8A7E-4FD5-9CA0-2BB5DC5B55A8}">
  <sheetPr codeName="Sheet5"/>
  <dimension ref="A1:F26"/>
  <sheetViews>
    <sheetView zoomScale="130" zoomScaleNormal="130" workbookViewId="0">
      <selection activeCell="D3" sqref="D3"/>
    </sheetView>
  </sheetViews>
  <sheetFormatPr defaultRowHeight="14.5" x14ac:dyDescent="0.35"/>
  <cols>
    <col min="1" max="1" width="21.6328125" bestFit="1" customWidth="1"/>
    <col min="2" max="2" width="27" bestFit="1" customWidth="1"/>
    <col min="3" max="3" width="10.26953125" bestFit="1" customWidth="1"/>
    <col min="4" max="4" width="11.1796875" bestFit="1" customWidth="1"/>
  </cols>
  <sheetData>
    <row r="1" spans="1:6" x14ac:dyDescent="0.35">
      <c r="A1" t="s">
        <v>0</v>
      </c>
      <c r="B1" t="s">
        <v>1</v>
      </c>
      <c r="C1" t="s">
        <v>24</v>
      </c>
      <c r="D1" t="s">
        <v>31</v>
      </c>
    </row>
    <row r="2" spans="1:6" x14ac:dyDescent="0.35">
      <c r="A2" t="s">
        <v>2</v>
      </c>
    </row>
    <row r="3" spans="1:6" x14ac:dyDescent="0.35">
      <c r="B3" t="s">
        <v>3</v>
      </c>
      <c r="C3" s="3">
        <v>150000</v>
      </c>
      <c r="D3" t="s">
        <v>32</v>
      </c>
    </row>
    <row r="4" spans="1:6" x14ac:dyDescent="0.35">
      <c r="B4" t="s">
        <v>4</v>
      </c>
      <c r="C4" s="3">
        <v>25000</v>
      </c>
      <c r="D4" t="s">
        <v>32</v>
      </c>
      <c r="F4" t="s">
        <v>198</v>
      </c>
    </row>
    <row r="5" spans="1:6" x14ac:dyDescent="0.35">
      <c r="B5" t="s">
        <v>5</v>
      </c>
      <c r="C5" s="3">
        <v>5000</v>
      </c>
      <c r="D5" t="s">
        <v>32</v>
      </c>
    </row>
    <row r="6" spans="1:6" x14ac:dyDescent="0.35">
      <c r="F6" t="s">
        <v>199</v>
      </c>
    </row>
    <row r="7" spans="1:6" x14ac:dyDescent="0.35">
      <c r="A7" t="s">
        <v>6</v>
      </c>
      <c r="F7" t="s">
        <v>200</v>
      </c>
    </row>
    <row r="8" spans="1:6" x14ac:dyDescent="0.35">
      <c r="B8" t="s">
        <v>6</v>
      </c>
      <c r="C8" s="3">
        <v>60000</v>
      </c>
      <c r="D8" t="s">
        <v>33</v>
      </c>
      <c r="F8" t="s">
        <v>201</v>
      </c>
    </row>
    <row r="9" spans="1:6" x14ac:dyDescent="0.35">
      <c r="F9" t="s">
        <v>202</v>
      </c>
    </row>
    <row r="10" spans="1:6" x14ac:dyDescent="0.35">
      <c r="A10" t="s">
        <v>8</v>
      </c>
      <c r="F10" t="s">
        <v>203</v>
      </c>
    </row>
    <row r="11" spans="1:6" x14ac:dyDescent="0.35">
      <c r="B11" t="s">
        <v>9</v>
      </c>
      <c r="C11" s="3">
        <v>30000</v>
      </c>
      <c r="D11" t="s">
        <v>33</v>
      </c>
    </row>
    <row r="12" spans="1:6" x14ac:dyDescent="0.35">
      <c r="B12" t="s">
        <v>10</v>
      </c>
      <c r="C12" s="3">
        <v>15000</v>
      </c>
      <c r="D12" t="s">
        <v>33</v>
      </c>
    </row>
    <row r="13" spans="1:6" x14ac:dyDescent="0.35">
      <c r="B13" t="s">
        <v>11</v>
      </c>
      <c r="C13" s="3">
        <v>2000</v>
      </c>
      <c r="D13" t="s">
        <v>33</v>
      </c>
    </row>
    <row r="14" spans="1:6" x14ac:dyDescent="0.35">
      <c r="B14" t="s">
        <v>12</v>
      </c>
      <c r="C14" s="3">
        <v>10000</v>
      </c>
      <c r="D14" t="s">
        <v>33</v>
      </c>
    </row>
    <row r="15" spans="1:6" x14ac:dyDescent="0.35">
      <c r="B15" t="s">
        <v>13</v>
      </c>
      <c r="C15" s="3">
        <v>8000</v>
      </c>
      <c r="D15" t="s">
        <v>33</v>
      </c>
    </row>
    <row r="16" spans="1:6" x14ac:dyDescent="0.35">
      <c r="B16" t="s">
        <v>14</v>
      </c>
      <c r="C16" s="3">
        <v>5000</v>
      </c>
      <c r="D16" t="s">
        <v>33</v>
      </c>
    </row>
    <row r="18" spans="1:4" x14ac:dyDescent="0.35">
      <c r="A18" t="s">
        <v>16</v>
      </c>
    </row>
    <row r="19" spans="1:4" x14ac:dyDescent="0.35">
      <c r="B19" t="s">
        <v>17</v>
      </c>
      <c r="C19" s="3">
        <v>2000</v>
      </c>
      <c r="D19" t="s">
        <v>32</v>
      </c>
    </row>
    <row r="20" spans="1:4" x14ac:dyDescent="0.35">
      <c r="B20" t="s">
        <v>18</v>
      </c>
      <c r="C20" s="3">
        <v>1000</v>
      </c>
      <c r="D20" t="s">
        <v>32</v>
      </c>
    </row>
    <row r="21" spans="1:4" x14ac:dyDescent="0.35">
      <c r="A21" t="s">
        <v>19</v>
      </c>
    </row>
    <row r="22" spans="1:4" x14ac:dyDescent="0.35">
      <c r="B22" t="s">
        <v>20</v>
      </c>
      <c r="C22" s="3">
        <v>1500</v>
      </c>
      <c r="D22" t="s">
        <v>33</v>
      </c>
    </row>
    <row r="23" spans="1:4" x14ac:dyDescent="0.35">
      <c r="B23" t="s">
        <v>21</v>
      </c>
      <c r="C23" s="3">
        <v>10000</v>
      </c>
      <c r="D23" t="s">
        <v>33</v>
      </c>
    </row>
    <row r="24" spans="1:4" x14ac:dyDescent="0.35">
      <c r="B24" t="s">
        <v>22</v>
      </c>
      <c r="C24">
        <v>500</v>
      </c>
      <c r="D24" t="s">
        <v>33</v>
      </c>
    </row>
    <row r="26" spans="1:4" x14ac:dyDescent="0.35">
      <c r="A26" t="s">
        <v>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44BEE-B0B2-402C-A2A9-377A369330BC}">
  <sheetPr codeName="Sheet6"/>
  <dimension ref="A1:D27"/>
  <sheetViews>
    <sheetView topLeftCell="A17" zoomScale="115" zoomScaleNormal="115" workbookViewId="0">
      <selection activeCell="C26" sqref="C26"/>
    </sheetView>
  </sheetViews>
  <sheetFormatPr defaultRowHeight="14.5" x14ac:dyDescent="0.35"/>
  <cols>
    <col min="1" max="1" width="21.6328125" bestFit="1" customWidth="1"/>
    <col min="2" max="2" width="27" bestFit="1" customWidth="1"/>
    <col min="3" max="3" width="10.26953125" bestFit="1" customWidth="1"/>
    <col min="4" max="4" width="11.1796875" bestFit="1" customWidth="1"/>
  </cols>
  <sheetData>
    <row r="1" spans="1:4" x14ac:dyDescent="0.35">
      <c r="A1" t="s">
        <v>0</v>
      </c>
      <c r="B1" t="s">
        <v>1</v>
      </c>
      <c r="C1" t="s">
        <v>35</v>
      </c>
      <c r="D1" t="s">
        <v>31</v>
      </c>
    </row>
    <row r="2" spans="1:4" x14ac:dyDescent="0.35">
      <c r="A2" t="s">
        <v>2</v>
      </c>
    </row>
    <row r="3" spans="1:4" x14ac:dyDescent="0.35">
      <c r="B3" t="s">
        <v>3</v>
      </c>
      <c r="C3" s="3">
        <v>150000</v>
      </c>
      <c r="D3" t="s">
        <v>32</v>
      </c>
    </row>
    <row r="4" spans="1:4" x14ac:dyDescent="0.35">
      <c r="B4" t="s">
        <v>4</v>
      </c>
      <c r="C4" s="3">
        <v>25000</v>
      </c>
      <c r="D4" t="s">
        <v>32</v>
      </c>
    </row>
    <row r="5" spans="1:4" x14ac:dyDescent="0.35">
      <c r="B5" t="s">
        <v>5</v>
      </c>
      <c r="C5" s="3">
        <v>5000</v>
      </c>
      <c r="D5" t="s">
        <v>32</v>
      </c>
    </row>
    <row r="7" spans="1:4" x14ac:dyDescent="0.35">
      <c r="A7" t="s">
        <v>6</v>
      </c>
    </row>
    <row r="8" spans="1:4" x14ac:dyDescent="0.35">
      <c r="B8" t="s">
        <v>6</v>
      </c>
      <c r="C8" s="3">
        <v>60000</v>
      </c>
      <c r="D8" t="s">
        <v>33</v>
      </c>
    </row>
    <row r="10" spans="1:4" x14ac:dyDescent="0.35">
      <c r="A10" t="s">
        <v>8</v>
      </c>
    </row>
    <row r="11" spans="1:4" x14ac:dyDescent="0.35">
      <c r="B11" t="s">
        <v>9</v>
      </c>
      <c r="C11" s="3">
        <v>30000</v>
      </c>
      <c r="D11" t="s">
        <v>33</v>
      </c>
    </row>
    <row r="12" spans="1:4" x14ac:dyDescent="0.35">
      <c r="B12" t="s">
        <v>10</v>
      </c>
      <c r="C12" s="3">
        <v>15000</v>
      </c>
      <c r="D12" t="s">
        <v>33</v>
      </c>
    </row>
    <row r="13" spans="1:4" x14ac:dyDescent="0.35">
      <c r="B13" t="s">
        <v>11</v>
      </c>
      <c r="C13" s="3">
        <v>2000</v>
      </c>
      <c r="D13" t="s">
        <v>33</v>
      </c>
    </row>
    <row r="14" spans="1:4" x14ac:dyDescent="0.35">
      <c r="B14" t="s">
        <v>12</v>
      </c>
      <c r="C14" s="3">
        <v>10000</v>
      </c>
      <c r="D14" t="s">
        <v>33</v>
      </c>
    </row>
    <row r="15" spans="1:4" x14ac:dyDescent="0.35">
      <c r="B15" t="s">
        <v>13</v>
      </c>
      <c r="C15" s="3">
        <v>8000</v>
      </c>
      <c r="D15" t="s">
        <v>33</v>
      </c>
    </row>
    <row r="16" spans="1:4" x14ac:dyDescent="0.35">
      <c r="B16" t="s">
        <v>14</v>
      </c>
      <c r="C16" s="3">
        <v>5000</v>
      </c>
      <c r="D16" t="s">
        <v>33</v>
      </c>
    </row>
    <row r="18" spans="1:4" x14ac:dyDescent="0.35">
      <c r="A18" t="s">
        <v>16</v>
      </c>
    </row>
    <row r="19" spans="1:4" x14ac:dyDescent="0.35">
      <c r="B19" t="s">
        <v>17</v>
      </c>
      <c r="C19" s="3">
        <v>2000</v>
      </c>
      <c r="D19" t="s">
        <v>32</v>
      </c>
    </row>
    <row r="20" spans="1:4" x14ac:dyDescent="0.35">
      <c r="B20" t="s">
        <v>18</v>
      </c>
      <c r="C20" s="3">
        <v>1000</v>
      </c>
      <c r="D20" t="s">
        <v>32</v>
      </c>
    </row>
    <row r="21" spans="1:4" x14ac:dyDescent="0.35">
      <c r="A21" t="s">
        <v>19</v>
      </c>
    </row>
    <row r="22" spans="1:4" x14ac:dyDescent="0.35">
      <c r="B22" t="s">
        <v>20</v>
      </c>
      <c r="C22" s="3">
        <v>1500</v>
      </c>
      <c r="D22" t="s">
        <v>33</v>
      </c>
    </row>
    <row r="23" spans="1:4" x14ac:dyDescent="0.35">
      <c r="B23" t="s">
        <v>21</v>
      </c>
      <c r="C23" s="3">
        <v>10000</v>
      </c>
      <c r="D23" t="s">
        <v>33</v>
      </c>
    </row>
    <row r="24" spans="1:4" x14ac:dyDescent="0.35">
      <c r="B24" t="s">
        <v>22</v>
      </c>
      <c r="C24">
        <v>500</v>
      </c>
      <c r="D24" t="s">
        <v>33</v>
      </c>
    </row>
    <row r="26" spans="1:4" x14ac:dyDescent="0.35">
      <c r="A26" t="s">
        <v>34</v>
      </c>
      <c r="C26" s="13">
        <f>SUMIFS(C3:C24,D3:D24,"Cr")-SUMIFS(C3:C24,D3:D24,"Dr")</f>
        <v>41000</v>
      </c>
    </row>
    <row r="27" spans="1:4" x14ac:dyDescent="0.35">
      <c r="C27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0913-03DB-4BDC-BE04-35311E3D514A}">
  <sheetPr codeName="Sheet7"/>
  <dimension ref="A1:F21"/>
  <sheetViews>
    <sheetView topLeftCell="A8" zoomScale="130" zoomScaleNormal="130" workbookViewId="0">
      <selection activeCell="E10" sqref="E10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4" max="4" width="10.0898437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60</v>
      </c>
    </row>
    <row r="2" spans="1:6" x14ac:dyDescent="0.35">
      <c r="A2" t="s">
        <v>39</v>
      </c>
      <c r="B2">
        <v>500000</v>
      </c>
      <c r="C2">
        <v>550000</v>
      </c>
      <c r="D2" s="15">
        <f>(C2-B2)/B2</f>
        <v>0.1</v>
      </c>
      <c r="F2" t="s">
        <v>204</v>
      </c>
    </row>
    <row r="3" spans="1:6" x14ac:dyDescent="0.35">
      <c r="A3" t="s">
        <v>40</v>
      </c>
      <c r="B3">
        <v>450000</v>
      </c>
      <c r="C3">
        <v>480000</v>
      </c>
      <c r="D3" s="15">
        <f t="shared" ref="D3:D21" si="0">(C3-B3)/B3</f>
        <v>6.6666666666666666E-2</v>
      </c>
    </row>
    <row r="4" spans="1:6" x14ac:dyDescent="0.35">
      <c r="A4" t="s">
        <v>41</v>
      </c>
      <c r="B4">
        <v>300000</v>
      </c>
      <c r="C4">
        <v>320000</v>
      </c>
      <c r="D4" s="15">
        <f t="shared" si="0"/>
        <v>6.6666666666666666E-2</v>
      </c>
      <c r="F4" t="s">
        <v>205</v>
      </c>
    </row>
    <row r="5" spans="1:6" x14ac:dyDescent="0.35">
      <c r="A5" t="s">
        <v>42</v>
      </c>
      <c r="B5">
        <v>280000</v>
      </c>
      <c r="C5">
        <v>290000</v>
      </c>
      <c r="D5" s="15">
        <f t="shared" si="0"/>
        <v>3.5714285714285712E-2</v>
      </c>
      <c r="F5" t="s">
        <v>206</v>
      </c>
    </row>
    <row r="6" spans="1:6" x14ac:dyDescent="0.35">
      <c r="A6" t="s">
        <v>43</v>
      </c>
      <c r="B6">
        <v>260000</v>
      </c>
      <c r="C6">
        <v>270000</v>
      </c>
      <c r="D6" s="15">
        <f t="shared" si="0"/>
        <v>3.8461538461538464E-2</v>
      </c>
    </row>
    <row r="7" spans="1:6" x14ac:dyDescent="0.35">
      <c r="A7" t="s">
        <v>44</v>
      </c>
      <c r="B7">
        <v>240000</v>
      </c>
      <c r="C7">
        <v>255000</v>
      </c>
      <c r="D7" s="15">
        <f t="shared" si="0"/>
        <v>6.25E-2</v>
      </c>
    </row>
    <row r="8" spans="1:6" x14ac:dyDescent="0.35">
      <c r="A8" t="s">
        <v>45</v>
      </c>
      <c r="B8">
        <v>200000</v>
      </c>
      <c r="C8">
        <v>220000</v>
      </c>
      <c r="D8" s="15">
        <f t="shared" si="0"/>
        <v>0.1</v>
      </c>
    </row>
    <row r="9" spans="1:6" x14ac:dyDescent="0.35">
      <c r="A9" t="s">
        <v>46</v>
      </c>
      <c r="B9">
        <v>180000</v>
      </c>
      <c r="C9">
        <v>190000</v>
      </c>
      <c r="D9" s="15">
        <f t="shared" si="0"/>
        <v>5.5555555555555552E-2</v>
      </c>
    </row>
    <row r="10" spans="1:6" x14ac:dyDescent="0.35">
      <c r="A10" t="s">
        <v>47</v>
      </c>
      <c r="B10">
        <v>170000</v>
      </c>
      <c r="C10">
        <v>185000</v>
      </c>
      <c r="D10" s="15">
        <f t="shared" si="0"/>
        <v>8.8235294117647065E-2</v>
      </c>
    </row>
    <row r="11" spans="1:6" x14ac:dyDescent="0.35">
      <c r="A11" t="s">
        <v>48</v>
      </c>
      <c r="B11">
        <v>160000</v>
      </c>
      <c r="C11">
        <v>170000</v>
      </c>
      <c r="D11" s="15">
        <f t="shared" si="0"/>
        <v>6.25E-2</v>
      </c>
    </row>
    <row r="12" spans="1:6" x14ac:dyDescent="0.35">
      <c r="A12" t="s">
        <v>49</v>
      </c>
      <c r="B12">
        <v>150000</v>
      </c>
      <c r="C12">
        <v>160000</v>
      </c>
      <c r="D12" s="15">
        <f t="shared" si="0"/>
        <v>6.6666666666666666E-2</v>
      </c>
    </row>
    <row r="13" spans="1:6" x14ac:dyDescent="0.35">
      <c r="A13" t="s">
        <v>50</v>
      </c>
      <c r="B13">
        <v>140000</v>
      </c>
      <c r="C13">
        <v>155000</v>
      </c>
      <c r="D13" s="15">
        <f t="shared" si="0"/>
        <v>0.10714285714285714</v>
      </c>
    </row>
    <row r="14" spans="1:6" x14ac:dyDescent="0.35">
      <c r="A14" t="s">
        <v>51</v>
      </c>
      <c r="B14">
        <v>130000</v>
      </c>
      <c r="C14">
        <v>145000</v>
      </c>
      <c r="D14" s="15">
        <f t="shared" si="0"/>
        <v>0.11538461538461539</v>
      </c>
    </row>
    <row r="15" spans="1:6" x14ac:dyDescent="0.35">
      <c r="A15" t="s">
        <v>52</v>
      </c>
      <c r="B15">
        <v>120000</v>
      </c>
      <c r="C15">
        <v>130000</v>
      </c>
      <c r="D15" s="15">
        <f t="shared" si="0"/>
        <v>8.3333333333333329E-2</v>
      </c>
    </row>
    <row r="16" spans="1:6" x14ac:dyDescent="0.35">
      <c r="A16" t="s">
        <v>53</v>
      </c>
      <c r="B16">
        <v>110000</v>
      </c>
      <c r="C16">
        <v>120000</v>
      </c>
      <c r="D16" s="15">
        <f t="shared" si="0"/>
        <v>9.0909090909090912E-2</v>
      </c>
    </row>
    <row r="17" spans="1:4" x14ac:dyDescent="0.35">
      <c r="A17" t="s">
        <v>54</v>
      </c>
      <c r="B17">
        <v>100000</v>
      </c>
      <c r="C17">
        <v>110000</v>
      </c>
      <c r="D17" s="15">
        <f t="shared" si="0"/>
        <v>0.1</v>
      </c>
    </row>
    <row r="18" spans="1:4" x14ac:dyDescent="0.35">
      <c r="A18" t="s">
        <v>55</v>
      </c>
      <c r="B18">
        <v>95000</v>
      </c>
      <c r="C18">
        <v>105000</v>
      </c>
      <c r="D18" s="15">
        <f t="shared" si="0"/>
        <v>0.10526315789473684</v>
      </c>
    </row>
    <row r="19" spans="1:4" x14ac:dyDescent="0.35">
      <c r="A19" t="s">
        <v>56</v>
      </c>
      <c r="B19">
        <v>90000</v>
      </c>
      <c r="C19">
        <v>100000</v>
      </c>
      <c r="D19" s="15">
        <f t="shared" si="0"/>
        <v>0.1111111111111111</v>
      </c>
    </row>
    <row r="20" spans="1:4" x14ac:dyDescent="0.35">
      <c r="A20" t="s">
        <v>57</v>
      </c>
      <c r="B20">
        <v>85000</v>
      </c>
      <c r="C20">
        <v>95000</v>
      </c>
      <c r="D20" s="15">
        <f t="shared" si="0"/>
        <v>0.11764705882352941</v>
      </c>
    </row>
    <row r="21" spans="1:4" x14ac:dyDescent="0.35">
      <c r="A21" t="s">
        <v>58</v>
      </c>
      <c r="B21">
        <v>80000</v>
      </c>
      <c r="C21">
        <v>90000</v>
      </c>
      <c r="D21" s="15">
        <f t="shared" si="0"/>
        <v>0.125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71E40-50C7-48D9-8857-F87D2872348B}">
  <sheetPr codeName="Sheet8"/>
  <dimension ref="A1:F21"/>
  <sheetViews>
    <sheetView zoomScale="130" zoomScaleNormal="130" workbookViewId="0">
      <selection activeCell="F3" sqref="F3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</row>
    <row r="2" spans="1:6" x14ac:dyDescent="0.35">
      <c r="A2" t="s">
        <v>39</v>
      </c>
      <c r="B2">
        <v>500000</v>
      </c>
      <c r="C2">
        <v>550000</v>
      </c>
      <c r="E2" t="s">
        <v>61</v>
      </c>
      <c r="F2" s="14">
        <f>AVERAGE('007 - Calculate change %'!D2:D21)</f>
        <v>8.4937894922415061E-2</v>
      </c>
    </row>
    <row r="3" spans="1:6" x14ac:dyDescent="0.35">
      <c r="A3" t="s">
        <v>40</v>
      </c>
      <c r="B3">
        <v>450000</v>
      </c>
      <c r="C3">
        <v>480000</v>
      </c>
    </row>
    <row r="4" spans="1:6" x14ac:dyDescent="0.35">
      <c r="A4" t="s">
        <v>41</v>
      </c>
      <c r="B4">
        <v>300000</v>
      </c>
      <c r="C4">
        <v>320000</v>
      </c>
    </row>
    <row r="5" spans="1:6" x14ac:dyDescent="0.35">
      <c r="A5" t="s">
        <v>42</v>
      </c>
      <c r="B5">
        <v>280000</v>
      </c>
      <c r="C5">
        <v>290000</v>
      </c>
    </row>
    <row r="6" spans="1:6" x14ac:dyDescent="0.35">
      <c r="A6" t="s">
        <v>43</v>
      </c>
      <c r="B6">
        <v>260000</v>
      </c>
      <c r="C6">
        <v>270000</v>
      </c>
    </row>
    <row r="7" spans="1:6" x14ac:dyDescent="0.35">
      <c r="A7" t="s">
        <v>44</v>
      </c>
      <c r="B7">
        <v>240000</v>
      </c>
      <c r="C7">
        <v>255000</v>
      </c>
    </row>
    <row r="8" spans="1:6" x14ac:dyDescent="0.35">
      <c r="A8" t="s">
        <v>45</v>
      </c>
      <c r="B8">
        <v>200000</v>
      </c>
      <c r="C8">
        <v>220000</v>
      </c>
    </row>
    <row r="9" spans="1:6" x14ac:dyDescent="0.35">
      <c r="A9" t="s">
        <v>46</v>
      </c>
      <c r="B9">
        <v>180000</v>
      </c>
      <c r="C9">
        <v>190000</v>
      </c>
    </row>
    <row r="10" spans="1:6" x14ac:dyDescent="0.35">
      <c r="A10" t="s">
        <v>47</v>
      </c>
      <c r="B10">
        <v>170000</v>
      </c>
      <c r="C10">
        <v>185000</v>
      </c>
    </row>
    <row r="11" spans="1:6" x14ac:dyDescent="0.35">
      <c r="A11" t="s">
        <v>48</v>
      </c>
      <c r="B11">
        <v>160000</v>
      </c>
      <c r="C11">
        <v>170000</v>
      </c>
    </row>
    <row r="12" spans="1:6" x14ac:dyDescent="0.35">
      <c r="A12" t="s">
        <v>49</v>
      </c>
      <c r="B12">
        <v>150000</v>
      </c>
      <c r="C12">
        <v>160000</v>
      </c>
    </row>
    <row r="13" spans="1:6" x14ac:dyDescent="0.35">
      <c r="A13" t="s">
        <v>50</v>
      </c>
      <c r="B13">
        <v>140000</v>
      </c>
      <c r="C13">
        <v>155000</v>
      </c>
    </row>
    <row r="14" spans="1:6" x14ac:dyDescent="0.35">
      <c r="A14" t="s">
        <v>51</v>
      </c>
      <c r="B14">
        <v>130000</v>
      </c>
      <c r="C14">
        <v>145000</v>
      </c>
    </row>
    <row r="15" spans="1:6" x14ac:dyDescent="0.35">
      <c r="A15" t="s">
        <v>52</v>
      </c>
      <c r="B15">
        <v>120000</v>
      </c>
      <c r="C15">
        <v>130000</v>
      </c>
    </row>
    <row r="16" spans="1:6" x14ac:dyDescent="0.35">
      <c r="A16" t="s">
        <v>53</v>
      </c>
      <c r="B16">
        <v>110000</v>
      </c>
      <c r="C16">
        <v>120000</v>
      </c>
    </row>
    <row r="17" spans="1:3" x14ac:dyDescent="0.35">
      <c r="A17" t="s">
        <v>54</v>
      </c>
      <c r="B17">
        <v>100000</v>
      </c>
      <c r="C17">
        <v>110000</v>
      </c>
    </row>
    <row r="18" spans="1:3" x14ac:dyDescent="0.35">
      <c r="A18" t="s">
        <v>55</v>
      </c>
      <c r="B18">
        <v>95000</v>
      </c>
      <c r="C18">
        <v>105000</v>
      </c>
    </row>
    <row r="19" spans="1:3" x14ac:dyDescent="0.35">
      <c r="A19" t="s">
        <v>56</v>
      </c>
      <c r="B19">
        <v>90000</v>
      </c>
      <c r="C19">
        <v>100000</v>
      </c>
    </row>
    <row r="20" spans="1:3" x14ac:dyDescent="0.35">
      <c r="A20" t="s">
        <v>57</v>
      </c>
      <c r="B20">
        <v>85000</v>
      </c>
      <c r="C20">
        <v>95000</v>
      </c>
    </row>
    <row r="21" spans="1:3" x14ac:dyDescent="0.35">
      <c r="A21" t="s">
        <v>58</v>
      </c>
      <c r="B21">
        <v>80000</v>
      </c>
      <c r="C21">
        <v>90000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828FC-2C54-40DC-A593-9949D9DCF6B3}">
  <sheetPr codeName="Sheet9"/>
  <dimension ref="A1:E21"/>
  <sheetViews>
    <sheetView zoomScale="160" zoomScaleNormal="160" workbookViewId="0">
      <selection activeCell="C4" sqref="C4"/>
    </sheetView>
  </sheetViews>
  <sheetFormatPr defaultRowHeight="14.5" x14ac:dyDescent="0.35"/>
  <cols>
    <col min="1" max="1" width="18.1796875" customWidth="1"/>
    <col min="2" max="2" width="12.1796875" bestFit="1" customWidth="1"/>
    <col min="3" max="3" width="14.90625" customWidth="1"/>
    <col min="5" max="5" width="16.1796875" bestFit="1" customWidth="1"/>
  </cols>
  <sheetData>
    <row r="1" spans="1:5" x14ac:dyDescent="0.35">
      <c r="A1" t="s">
        <v>36</v>
      </c>
      <c r="B1" t="s">
        <v>37</v>
      </c>
      <c r="C1" t="s">
        <v>38</v>
      </c>
      <c r="E1" t="s">
        <v>207</v>
      </c>
    </row>
    <row r="2" spans="1:5" x14ac:dyDescent="0.35">
      <c r="A2" t="s">
        <v>48</v>
      </c>
      <c r="B2">
        <v>160000</v>
      </c>
      <c r="C2">
        <v>170000</v>
      </c>
    </row>
    <row r="3" spans="1:5" x14ac:dyDescent="0.35">
      <c r="A3" t="s">
        <v>46</v>
      </c>
      <c r="B3">
        <v>180000</v>
      </c>
      <c r="C3">
        <v>190000</v>
      </c>
    </row>
    <row r="4" spans="1:5" x14ac:dyDescent="0.35">
      <c r="A4" t="s">
        <v>47</v>
      </c>
      <c r="B4">
        <v>170000</v>
      </c>
      <c r="C4">
        <v>185000</v>
      </c>
    </row>
    <row r="5" spans="1:5" x14ac:dyDescent="0.35">
      <c r="A5" t="s">
        <v>40</v>
      </c>
      <c r="B5">
        <v>450000</v>
      </c>
      <c r="C5">
        <v>480000</v>
      </c>
    </row>
    <row r="6" spans="1:5" x14ac:dyDescent="0.35">
      <c r="A6" t="s">
        <v>44</v>
      </c>
      <c r="B6">
        <v>240000</v>
      </c>
      <c r="C6">
        <v>255000</v>
      </c>
    </row>
    <row r="7" spans="1:5" x14ac:dyDescent="0.35">
      <c r="A7" t="s">
        <v>42</v>
      </c>
      <c r="B7">
        <v>280000</v>
      </c>
      <c r="C7">
        <v>290000</v>
      </c>
    </row>
    <row r="8" spans="1:5" x14ac:dyDescent="0.35">
      <c r="A8" t="s">
        <v>45</v>
      </c>
      <c r="B8">
        <v>200000</v>
      </c>
      <c r="C8">
        <v>220000</v>
      </c>
    </row>
    <row r="9" spans="1:5" x14ac:dyDescent="0.35">
      <c r="A9" t="s">
        <v>50</v>
      </c>
      <c r="B9">
        <v>140000</v>
      </c>
      <c r="C9">
        <v>155000</v>
      </c>
    </row>
    <row r="10" spans="1:5" x14ac:dyDescent="0.35">
      <c r="A10" t="s">
        <v>41</v>
      </c>
      <c r="B10">
        <v>300000</v>
      </c>
      <c r="C10">
        <v>320000</v>
      </c>
    </row>
    <row r="11" spans="1:5" x14ac:dyDescent="0.35">
      <c r="A11" t="s">
        <v>52</v>
      </c>
      <c r="B11">
        <v>120000</v>
      </c>
      <c r="C11">
        <v>130000</v>
      </c>
    </row>
    <row r="12" spans="1:5" x14ac:dyDescent="0.35">
      <c r="A12" t="s">
        <v>53</v>
      </c>
      <c r="B12">
        <v>110000</v>
      </c>
      <c r="C12">
        <v>120000</v>
      </c>
    </row>
    <row r="13" spans="1:5" x14ac:dyDescent="0.35">
      <c r="A13" t="s">
        <v>56</v>
      </c>
      <c r="B13">
        <v>90000</v>
      </c>
      <c r="C13">
        <v>100000</v>
      </c>
    </row>
    <row r="14" spans="1:5" x14ac:dyDescent="0.35">
      <c r="A14" t="s">
        <v>58</v>
      </c>
      <c r="B14">
        <v>80000</v>
      </c>
      <c r="C14">
        <v>90000</v>
      </c>
    </row>
    <row r="15" spans="1:5" x14ac:dyDescent="0.35">
      <c r="A15" t="s">
        <v>49</v>
      </c>
      <c r="B15">
        <v>150000</v>
      </c>
      <c r="C15">
        <v>160000</v>
      </c>
    </row>
    <row r="16" spans="1:5" x14ac:dyDescent="0.35">
      <c r="A16" t="s">
        <v>51</v>
      </c>
      <c r="B16">
        <v>130000</v>
      </c>
      <c r="C16">
        <v>145000</v>
      </c>
    </row>
    <row r="17" spans="1:3" x14ac:dyDescent="0.35">
      <c r="A17" t="s">
        <v>57</v>
      </c>
      <c r="B17">
        <v>85000</v>
      </c>
      <c r="C17">
        <v>95000</v>
      </c>
    </row>
    <row r="18" spans="1:3" x14ac:dyDescent="0.35">
      <c r="A18" t="s">
        <v>55</v>
      </c>
      <c r="B18">
        <v>95000</v>
      </c>
      <c r="C18">
        <v>105000</v>
      </c>
    </row>
    <row r="19" spans="1:3" x14ac:dyDescent="0.35">
      <c r="A19" t="s">
        <v>54</v>
      </c>
      <c r="B19">
        <v>100000</v>
      </c>
      <c r="C19">
        <v>110000</v>
      </c>
    </row>
    <row r="20" spans="1:3" x14ac:dyDescent="0.35">
      <c r="A20" t="s">
        <v>43</v>
      </c>
      <c r="B20">
        <v>260000</v>
      </c>
      <c r="C20">
        <v>270000</v>
      </c>
    </row>
    <row r="21" spans="1:3" x14ac:dyDescent="0.35">
      <c r="A21" t="s">
        <v>39</v>
      </c>
      <c r="B21">
        <v>500000</v>
      </c>
      <c r="C21">
        <v>550000</v>
      </c>
    </row>
  </sheetData>
  <sortState xmlns:xlrd2="http://schemas.microsoft.com/office/spreadsheetml/2017/richdata2" ref="A2:C21">
    <sortCondition ref="A2:A21"/>
  </sortState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5C87A-E070-4445-A2E1-91DFC32D2A77}">
  <sheetPr codeName="Sheet10"/>
  <dimension ref="A1:F21"/>
  <sheetViews>
    <sheetView zoomScale="130" zoomScaleNormal="130" workbookViewId="0">
      <selection activeCell="D3" sqref="D3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F1" t="s">
        <v>62</v>
      </c>
    </row>
    <row r="2" spans="1:6" x14ac:dyDescent="0.35">
      <c r="A2" t="s">
        <v>39</v>
      </c>
      <c r="B2">
        <v>500000</v>
      </c>
      <c r="C2">
        <v>550000</v>
      </c>
      <c r="D2" s="2" t="str">
        <f>IF((C2-B2)/B2&lt;=7%,"Stable","Growth")</f>
        <v>Growth</v>
      </c>
    </row>
    <row r="3" spans="1:6" x14ac:dyDescent="0.35">
      <c r="A3" t="s">
        <v>40</v>
      </c>
      <c r="B3">
        <v>450000</v>
      </c>
      <c r="C3">
        <v>480000</v>
      </c>
      <c r="D3" s="2" t="str">
        <f t="shared" ref="D3:D21" si="0">IF((C3-B3)/B3&lt;=7%,"Stable","Growth")</f>
        <v>Stable</v>
      </c>
      <c r="F3" t="s">
        <v>208</v>
      </c>
    </row>
    <row r="4" spans="1:6" x14ac:dyDescent="0.35">
      <c r="A4" t="s">
        <v>41</v>
      </c>
      <c r="B4">
        <v>300000</v>
      </c>
      <c r="C4">
        <v>320000</v>
      </c>
      <c r="D4" s="2" t="str">
        <f t="shared" si="0"/>
        <v>Stable</v>
      </c>
    </row>
    <row r="5" spans="1:6" x14ac:dyDescent="0.35">
      <c r="A5" t="s">
        <v>42</v>
      </c>
      <c r="B5">
        <v>280000</v>
      </c>
      <c r="C5">
        <v>290000</v>
      </c>
      <c r="D5" s="2" t="str">
        <f t="shared" si="0"/>
        <v>Stable</v>
      </c>
    </row>
    <row r="6" spans="1:6" x14ac:dyDescent="0.35">
      <c r="A6" t="s">
        <v>43</v>
      </c>
      <c r="B6">
        <v>260000</v>
      </c>
      <c r="C6">
        <v>270000</v>
      </c>
      <c r="D6" s="2" t="str">
        <f t="shared" si="0"/>
        <v>Stable</v>
      </c>
    </row>
    <row r="7" spans="1:6" x14ac:dyDescent="0.35">
      <c r="A7" t="s">
        <v>44</v>
      </c>
      <c r="B7">
        <v>240000</v>
      </c>
      <c r="C7">
        <v>255000</v>
      </c>
      <c r="D7" s="2" t="str">
        <f t="shared" si="0"/>
        <v>Stable</v>
      </c>
    </row>
    <row r="8" spans="1:6" x14ac:dyDescent="0.35">
      <c r="A8" t="s">
        <v>45</v>
      </c>
      <c r="B8">
        <v>200000</v>
      </c>
      <c r="C8">
        <v>220000</v>
      </c>
      <c r="D8" s="2" t="str">
        <f t="shared" si="0"/>
        <v>Growth</v>
      </c>
    </row>
    <row r="9" spans="1:6" x14ac:dyDescent="0.35">
      <c r="A9" t="s">
        <v>46</v>
      </c>
      <c r="B9">
        <v>180000</v>
      </c>
      <c r="C9">
        <v>190000</v>
      </c>
      <c r="D9" s="2" t="str">
        <f t="shared" si="0"/>
        <v>Stable</v>
      </c>
    </row>
    <row r="10" spans="1:6" x14ac:dyDescent="0.35">
      <c r="A10" t="s">
        <v>47</v>
      </c>
      <c r="B10">
        <v>170000</v>
      </c>
      <c r="C10">
        <v>185000</v>
      </c>
      <c r="D10" s="2" t="str">
        <f t="shared" si="0"/>
        <v>Growth</v>
      </c>
    </row>
    <row r="11" spans="1:6" x14ac:dyDescent="0.35">
      <c r="A11" t="s">
        <v>48</v>
      </c>
      <c r="B11">
        <v>160000</v>
      </c>
      <c r="C11">
        <v>170000</v>
      </c>
      <c r="D11" s="2" t="str">
        <f t="shared" si="0"/>
        <v>Stable</v>
      </c>
    </row>
    <row r="12" spans="1:6" x14ac:dyDescent="0.35">
      <c r="A12" t="s">
        <v>49</v>
      </c>
      <c r="B12">
        <v>150000</v>
      </c>
      <c r="C12">
        <v>160000</v>
      </c>
      <c r="D12" s="2" t="str">
        <f t="shared" si="0"/>
        <v>Stable</v>
      </c>
    </row>
    <row r="13" spans="1:6" x14ac:dyDescent="0.35">
      <c r="A13" t="s">
        <v>50</v>
      </c>
      <c r="B13">
        <v>140000</v>
      </c>
      <c r="C13">
        <v>155000</v>
      </c>
      <c r="D13" s="2" t="str">
        <f t="shared" si="0"/>
        <v>Growth</v>
      </c>
    </row>
    <row r="14" spans="1:6" x14ac:dyDescent="0.35">
      <c r="A14" t="s">
        <v>51</v>
      </c>
      <c r="B14">
        <v>130000</v>
      </c>
      <c r="C14">
        <v>145000</v>
      </c>
      <c r="D14" s="2" t="str">
        <f t="shared" si="0"/>
        <v>Growth</v>
      </c>
    </row>
    <row r="15" spans="1:6" x14ac:dyDescent="0.35">
      <c r="A15" t="s">
        <v>52</v>
      </c>
      <c r="B15">
        <v>120000</v>
      </c>
      <c r="C15">
        <v>130000</v>
      </c>
      <c r="D15" s="2" t="str">
        <f t="shared" si="0"/>
        <v>Growth</v>
      </c>
    </row>
    <row r="16" spans="1:6" x14ac:dyDescent="0.35">
      <c r="A16" t="s">
        <v>53</v>
      </c>
      <c r="B16">
        <v>110000</v>
      </c>
      <c r="C16">
        <v>120000</v>
      </c>
      <c r="D16" s="2" t="str">
        <f t="shared" si="0"/>
        <v>Growth</v>
      </c>
    </row>
    <row r="17" spans="1:4" x14ac:dyDescent="0.35">
      <c r="A17" t="s">
        <v>54</v>
      </c>
      <c r="B17">
        <v>100000</v>
      </c>
      <c r="C17">
        <v>110000</v>
      </c>
      <c r="D17" s="2" t="str">
        <f t="shared" si="0"/>
        <v>Growth</v>
      </c>
    </row>
    <row r="18" spans="1:4" x14ac:dyDescent="0.35">
      <c r="A18" t="s">
        <v>55</v>
      </c>
      <c r="B18">
        <v>95000</v>
      </c>
      <c r="C18">
        <v>105000</v>
      </c>
      <c r="D18" s="2" t="str">
        <f t="shared" si="0"/>
        <v>Growth</v>
      </c>
    </row>
    <row r="19" spans="1:4" x14ac:dyDescent="0.35">
      <c r="A19" t="s">
        <v>56</v>
      </c>
      <c r="B19">
        <v>90000</v>
      </c>
      <c r="C19">
        <v>100000</v>
      </c>
      <c r="D19" s="2" t="str">
        <f t="shared" si="0"/>
        <v>Growth</v>
      </c>
    </row>
    <row r="20" spans="1:4" x14ac:dyDescent="0.35">
      <c r="A20" t="s">
        <v>57</v>
      </c>
      <c r="B20">
        <v>85000</v>
      </c>
      <c r="C20">
        <v>95000</v>
      </c>
      <c r="D20" s="2" t="str">
        <f t="shared" si="0"/>
        <v>Growth</v>
      </c>
    </row>
    <row r="21" spans="1:4" x14ac:dyDescent="0.35">
      <c r="A21" t="s">
        <v>58</v>
      </c>
      <c r="B21">
        <v>80000</v>
      </c>
      <c r="C21">
        <v>90000</v>
      </c>
      <c r="D21" s="2" t="str">
        <f t="shared" si="0"/>
        <v>Growth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F671D-D7A1-49F5-8D99-FE1F8F1D2C10}">
  <sheetPr codeName="Sheet11"/>
  <dimension ref="A1:F21"/>
  <sheetViews>
    <sheetView zoomScale="130" zoomScaleNormal="130" workbookViewId="0">
      <selection activeCell="B6" sqref="B6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4.90625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65</v>
      </c>
      <c r="F1" t="s">
        <v>209</v>
      </c>
    </row>
    <row r="2" spans="1:6" x14ac:dyDescent="0.35">
      <c r="A2" t="s">
        <v>47</v>
      </c>
      <c r="B2">
        <v>170000</v>
      </c>
      <c r="C2">
        <v>185000</v>
      </c>
      <c r="D2" t="s">
        <v>63</v>
      </c>
    </row>
    <row r="3" spans="1:6" x14ac:dyDescent="0.35">
      <c r="A3" t="s">
        <v>45</v>
      </c>
      <c r="B3">
        <v>200000</v>
      </c>
      <c r="C3">
        <v>220000</v>
      </c>
      <c r="D3" t="s">
        <v>63</v>
      </c>
    </row>
    <row r="4" spans="1:6" x14ac:dyDescent="0.35">
      <c r="A4" t="s">
        <v>50</v>
      </c>
      <c r="B4">
        <v>140000</v>
      </c>
      <c r="C4">
        <v>155000</v>
      </c>
      <c r="D4" t="s">
        <v>63</v>
      </c>
    </row>
    <row r="5" spans="1:6" x14ac:dyDescent="0.35">
      <c r="A5" t="s">
        <v>52</v>
      </c>
      <c r="B5">
        <v>120000</v>
      </c>
      <c r="C5">
        <v>130000</v>
      </c>
      <c r="D5" t="s">
        <v>63</v>
      </c>
    </row>
    <row r="6" spans="1:6" x14ac:dyDescent="0.35">
      <c r="A6" t="s">
        <v>53</v>
      </c>
      <c r="B6">
        <v>110000</v>
      </c>
      <c r="C6">
        <v>120000</v>
      </c>
      <c r="D6" t="s">
        <v>63</v>
      </c>
    </row>
    <row r="7" spans="1:6" x14ac:dyDescent="0.35">
      <c r="A7" t="s">
        <v>56</v>
      </c>
      <c r="B7">
        <v>90000</v>
      </c>
      <c r="C7">
        <v>100000</v>
      </c>
      <c r="D7" t="s">
        <v>63</v>
      </c>
    </row>
    <row r="8" spans="1:6" x14ac:dyDescent="0.35">
      <c r="A8" t="s">
        <v>58</v>
      </c>
      <c r="B8">
        <v>80000</v>
      </c>
      <c r="C8">
        <v>90000</v>
      </c>
      <c r="D8" t="s">
        <v>63</v>
      </c>
    </row>
    <row r="9" spans="1:6" x14ac:dyDescent="0.35">
      <c r="A9" t="s">
        <v>51</v>
      </c>
      <c r="B9">
        <v>130000</v>
      </c>
      <c r="C9">
        <v>145000</v>
      </c>
      <c r="D9" t="s">
        <v>63</v>
      </c>
    </row>
    <row r="10" spans="1:6" x14ac:dyDescent="0.35">
      <c r="A10" t="s">
        <v>57</v>
      </c>
      <c r="B10">
        <v>85000</v>
      </c>
      <c r="C10">
        <v>95000</v>
      </c>
      <c r="D10" t="s">
        <v>63</v>
      </c>
    </row>
    <row r="11" spans="1:6" x14ac:dyDescent="0.35">
      <c r="A11" t="s">
        <v>55</v>
      </c>
      <c r="B11">
        <v>95000</v>
      </c>
      <c r="C11">
        <v>105000</v>
      </c>
      <c r="D11" t="s">
        <v>63</v>
      </c>
    </row>
    <row r="12" spans="1:6" x14ac:dyDescent="0.35">
      <c r="A12" t="s">
        <v>54</v>
      </c>
      <c r="B12">
        <v>100000</v>
      </c>
      <c r="C12">
        <v>110000</v>
      </c>
      <c r="D12" t="s">
        <v>63</v>
      </c>
    </row>
    <row r="13" spans="1:6" x14ac:dyDescent="0.35">
      <c r="A13" t="s">
        <v>39</v>
      </c>
      <c r="B13">
        <v>500000</v>
      </c>
      <c r="C13">
        <v>550000</v>
      </c>
      <c r="D13" t="s">
        <v>63</v>
      </c>
    </row>
    <row r="14" spans="1:6" x14ac:dyDescent="0.35">
      <c r="A14" t="s">
        <v>48</v>
      </c>
      <c r="B14">
        <v>160000</v>
      </c>
      <c r="C14">
        <v>170000</v>
      </c>
      <c r="D14" t="s">
        <v>64</v>
      </c>
    </row>
    <row r="15" spans="1:6" x14ac:dyDescent="0.35">
      <c r="A15" t="s">
        <v>46</v>
      </c>
      <c r="B15">
        <v>180000</v>
      </c>
      <c r="C15">
        <v>190000</v>
      </c>
      <c r="D15" t="s">
        <v>64</v>
      </c>
    </row>
    <row r="16" spans="1:6" x14ac:dyDescent="0.35">
      <c r="A16" t="s">
        <v>40</v>
      </c>
      <c r="B16">
        <v>450000</v>
      </c>
      <c r="C16">
        <v>480000</v>
      </c>
      <c r="D16" t="s">
        <v>64</v>
      </c>
    </row>
    <row r="17" spans="1:4" x14ac:dyDescent="0.35">
      <c r="A17" t="s">
        <v>44</v>
      </c>
      <c r="B17">
        <v>240000</v>
      </c>
      <c r="C17">
        <v>255000</v>
      </c>
      <c r="D17" t="s">
        <v>64</v>
      </c>
    </row>
    <row r="18" spans="1:4" x14ac:dyDescent="0.35">
      <c r="A18" t="s">
        <v>42</v>
      </c>
      <c r="B18">
        <v>280000</v>
      </c>
      <c r="C18">
        <v>290000</v>
      </c>
      <c r="D18" t="s">
        <v>64</v>
      </c>
    </row>
    <row r="19" spans="1:4" x14ac:dyDescent="0.35">
      <c r="A19" t="s">
        <v>41</v>
      </c>
      <c r="B19">
        <v>300000</v>
      </c>
      <c r="C19">
        <v>320000</v>
      </c>
      <c r="D19" t="s">
        <v>64</v>
      </c>
    </row>
    <row r="20" spans="1:4" x14ac:dyDescent="0.35">
      <c r="A20" t="s">
        <v>49</v>
      </c>
      <c r="B20">
        <v>150000</v>
      </c>
      <c r="C20">
        <v>160000</v>
      </c>
      <c r="D20" t="s">
        <v>64</v>
      </c>
    </row>
    <row r="21" spans="1:4" x14ac:dyDescent="0.35">
      <c r="A21" t="s">
        <v>43</v>
      </c>
      <c r="B21">
        <v>260000</v>
      </c>
      <c r="C21">
        <v>270000</v>
      </c>
      <c r="D21" t="s">
        <v>64</v>
      </c>
    </row>
  </sheetData>
  <sortState xmlns:xlrd2="http://schemas.microsoft.com/office/spreadsheetml/2017/richdata2" ref="A2:D21">
    <sortCondition ref="D2:D21"/>
    <sortCondition ref="A2:A21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EB81-D4BE-4C27-BB11-68AC62876698}">
  <sheetPr codeName="Sheet12"/>
  <dimension ref="A1:F21"/>
  <sheetViews>
    <sheetView zoomScale="130" zoomScaleNormal="130" workbookViewId="0">
      <selection activeCell="D2" sqref="D2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2.36328125" bestFit="1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65</v>
      </c>
      <c r="F1" t="s">
        <v>210</v>
      </c>
    </row>
    <row r="2" spans="1:6" x14ac:dyDescent="0.35">
      <c r="A2" t="s">
        <v>39</v>
      </c>
      <c r="B2">
        <v>500000</v>
      </c>
      <c r="C2">
        <v>550000</v>
      </c>
      <c r="D2" t="s">
        <v>63</v>
      </c>
    </row>
    <row r="3" spans="1:6" x14ac:dyDescent="0.35">
      <c r="A3" t="s">
        <v>40</v>
      </c>
      <c r="B3">
        <v>450000</v>
      </c>
      <c r="C3">
        <v>480000</v>
      </c>
      <c r="D3" t="s">
        <v>64</v>
      </c>
    </row>
    <row r="4" spans="1:6" x14ac:dyDescent="0.35">
      <c r="A4" t="s">
        <v>41</v>
      </c>
      <c r="B4">
        <v>300000</v>
      </c>
      <c r="C4">
        <v>320000</v>
      </c>
      <c r="D4" t="s">
        <v>64</v>
      </c>
    </row>
    <row r="5" spans="1:6" x14ac:dyDescent="0.35">
      <c r="A5" t="s">
        <v>42</v>
      </c>
      <c r="B5">
        <v>280000</v>
      </c>
      <c r="C5">
        <v>290000</v>
      </c>
      <c r="D5" t="s">
        <v>64</v>
      </c>
    </row>
    <row r="6" spans="1:6" x14ac:dyDescent="0.35">
      <c r="A6" t="s">
        <v>43</v>
      </c>
      <c r="B6">
        <v>260000</v>
      </c>
      <c r="C6">
        <v>270000</v>
      </c>
      <c r="D6" t="s">
        <v>64</v>
      </c>
    </row>
    <row r="7" spans="1:6" x14ac:dyDescent="0.35">
      <c r="A7" t="s">
        <v>44</v>
      </c>
      <c r="B7">
        <v>240000</v>
      </c>
      <c r="C7">
        <v>255000</v>
      </c>
      <c r="D7" t="s">
        <v>64</v>
      </c>
    </row>
    <row r="8" spans="1:6" x14ac:dyDescent="0.35">
      <c r="A8" t="s">
        <v>45</v>
      </c>
      <c r="B8">
        <v>200000</v>
      </c>
      <c r="C8">
        <v>220000</v>
      </c>
      <c r="D8" t="s">
        <v>63</v>
      </c>
    </row>
    <row r="9" spans="1:6" x14ac:dyDescent="0.35">
      <c r="A9" t="s">
        <v>46</v>
      </c>
      <c r="B9">
        <v>180000</v>
      </c>
      <c r="C9">
        <v>190000</v>
      </c>
      <c r="D9" t="s">
        <v>64</v>
      </c>
    </row>
    <row r="10" spans="1:6" x14ac:dyDescent="0.35">
      <c r="A10" t="s">
        <v>47</v>
      </c>
      <c r="B10">
        <v>170000</v>
      </c>
      <c r="C10">
        <v>185000</v>
      </c>
      <c r="D10" t="s">
        <v>63</v>
      </c>
    </row>
    <row r="11" spans="1:6" x14ac:dyDescent="0.35">
      <c r="A11" t="s">
        <v>48</v>
      </c>
      <c r="B11">
        <v>160000</v>
      </c>
      <c r="C11">
        <v>170000</v>
      </c>
      <c r="D11" t="s">
        <v>64</v>
      </c>
    </row>
    <row r="12" spans="1:6" x14ac:dyDescent="0.35">
      <c r="A12" t="s">
        <v>49</v>
      </c>
      <c r="B12">
        <v>150000</v>
      </c>
      <c r="C12">
        <v>160000</v>
      </c>
      <c r="D12" t="s">
        <v>64</v>
      </c>
    </row>
    <row r="13" spans="1:6" x14ac:dyDescent="0.35">
      <c r="A13" t="s">
        <v>50</v>
      </c>
      <c r="B13">
        <v>140000</v>
      </c>
      <c r="C13">
        <v>155000</v>
      </c>
      <c r="D13" t="s">
        <v>63</v>
      </c>
    </row>
    <row r="14" spans="1:6" x14ac:dyDescent="0.35">
      <c r="A14" t="s">
        <v>51</v>
      </c>
      <c r="B14">
        <v>130000</v>
      </c>
      <c r="C14">
        <v>145000</v>
      </c>
      <c r="D14" t="s">
        <v>63</v>
      </c>
    </row>
    <row r="15" spans="1:6" x14ac:dyDescent="0.35">
      <c r="A15" t="s">
        <v>52</v>
      </c>
      <c r="B15">
        <v>120000</v>
      </c>
      <c r="C15">
        <v>130000</v>
      </c>
      <c r="D15" t="s">
        <v>63</v>
      </c>
    </row>
    <row r="16" spans="1:6" x14ac:dyDescent="0.35">
      <c r="A16" t="s">
        <v>53</v>
      </c>
      <c r="B16">
        <v>110000</v>
      </c>
      <c r="C16">
        <v>120000</v>
      </c>
      <c r="D16" t="s">
        <v>63</v>
      </c>
    </row>
    <row r="17" spans="1:4" x14ac:dyDescent="0.35">
      <c r="A17" t="s">
        <v>54</v>
      </c>
      <c r="B17">
        <v>100000</v>
      </c>
      <c r="C17">
        <v>110000</v>
      </c>
      <c r="D17" t="s">
        <v>63</v>
      </c>
    </row>
    <row r="18" spans="1:4" x14ac:dyDescent="0.35">
      <c r="A18" t="s">
        <v>55</v>
      </c>
      <c r="B18">
        <v>95000</v>
      </c>
      <c r="C18">
        <v>105000</v>
      </c>
      <c r="D18" t="s">
        <v>63</v>
      </c>
    </row>
    <row r="19" spans="1:4" x14ac:dyDescent="0.35">
      <c r="A19" t="s">
        <v>56</v>
      </c>
      <c r="B19">
        <v>90000</v>
      </c>
      <c r="C19">
        <v>100000</v>
      </c>
      <c r="D19" t="s">
        <v>63</v>
      </c>
    </row>
    <row r="20" spans="1:4" x14ac:dyDescent="0.35">
      <c r="A20" t="s">
        <v>57</v>
      </c>
      <c r="B20">
        <v>85000</v>
      </c>
      <c r="C20">
        <v>95000</v>
      </c>
      <c r="D20" t="s">
        <v>63</v>
      </c>
    </row>
    <row r="21" spans="1:4" x14ac:dyDescent="0.35">
      <c r="A21" t="s">
        <v>58</v>
      </c>
      <c r="B21">
        <v>80000</v>
      </c>
      <c r="C21">
        <v>90000</v>
      </c>
      <c r="D21" t="s">
        <v>63</v>
      </c>
    </row>
  </sheetData>
  <conditionalFormatting sqref="D2:D21">
    <cfRule type="cellIs" dxfId="3" priority="1" operator="equal">
      <formula>"Stable"</formula>
    </cfRule>
    <cfRule type="cellIs" dxfId="2" priority="2" operator="equal">
      <formula>"Growth"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DF148-A830-488F-9659-F45B8DA68187}">
  <dimension ref="A1:F21"/>
  <sheetViews>
    <sheetView zoomScale="130" zoomScaleNormal="130" workbookViewId="0">
      <selection activeCell="C8" sqref="C8"/>
    </sheetView>
  </sheetViews>
  <sheetFormatPr defaultRowHeight="14.5" x14ac:dyDescent="0.35"/>
  <cols>
    <col min="1" max="1" width="14.1796875" bestFit="1" customWidth="1"/>
    <col min="2" max="2" width="12.1796875" bestFit="1" customWidth="1"/>
    <col min="3" max="3" width="12.36328125" bestFit="1" customWidth="1"/>
    <col min="5" max="5" width="16.1796875" bestFit="1" customWidth="1"/>
  </cols>
  <sheetData>
    <row r="1" spans="1:6" x14ac:dyDescent="0.35">
      <c r="A1" t="s">
        <v>36</v>
      </c>
      <c r="B1" t="s">
        <v>37</v>
      </c>
      <c r="C1" t="s">
        <v>38</v>
      </c>
      <c r="D1" t="s">
        <v>65</v>
      </c>
      <c r="F1" t="s">
        <v>210</v>
      </c>
    </row>
    <row r="2" spans="1:6" x14ac:dyDescent="0.35">
      <c r="A2" t="s">
        <v>39</v>
      </c>
      <c r="B2">
        <v>500000</v>
      </c>
      <c r="C2">
        <v>550000</v>
      </c>
      <c r="D2" t="s">
        <v>63</v>
      </c>
      <c r="F2" t="s">
        <v>216</v>
      </c>
    </row>
    <row r="3" spans="1:6" x14ac:dyDescent="0.35">
      <c r="A3" t="s">
        <v>40</v>
      </c>
      <c r="B3">
        <v>450000</v>
      </c>
      <c r="C3">
        <v>480000</v>
      </c>
      <c r="D3" t="s">
        <v>64</v>
      </c>
    </row>
    <row r="4" spans="1:6" x14ac:dyDescent="0.35">
      <c r="A4" t="s">
        <v>41</v>
      </c>
      <c r="B4">
        <v>300000</v>
      </c>
      <c r="C4">
        <v>320000</v>
      </c>
      <c r="D4" t="s">
        <v>64</v>
      </c>
    </row>
    <row r="5" spans="1:6" x14ac:dyDescent="0.35">
      <c r="A5" t="s">
        <v>42</v>
      </c>
      <c r="B5">
        <v>280000</v>
      </c>
      <c r="C5">
        <v>290000</v>
      </c>
      <c r="D5" t="s">
        <v>64</v>
      </c>
    </row>
    <row r="6" spans="1:6" x14ac:dyDescent="0.35">
      <c r="A6" t="s">
        <v>43</v>
      </c>
      <c r="B6">
        <v>260000</v>
      </c>
      <c r="C6">
        <v>270000</v>
      </c>
      <c r="D6" t="s">
        <v>64</v>
      </c>
    </row>
    <row r="7" spans="1:6" x14ac:dyDescent="0.35">
      <c r="A7" t="s">
        <v>44</v>
      </c>
      <c r="B7">
        <v>240000</v>
      </c>
      <c r="C7">
        <v>255000</v>
      </c>
      <c r="D7" t="s">
        <v>64</v>
      </c>
    </row>
    <row r="8" spans="1:6" x14ac:dyDescent="0.35">
      <c r="A8" t="s">
        <v>45</v>
      </c>
      <c r="B8">
        <v>200000</v>
      </c>
      <c r="C8">
        <v>220000</v>
      </c>
      <c r="D8" t="s">
        <v>63</v>
      </c>
    </row>
    <row r="9" spans="1:6" x14ac:dyDescent="0.35">
      <c r="A9" t="s">
        <v>46</v>
      </c>
      <c r="B9">
        <v>180000</v>
      </c>
      <c r="C9">
        <v>190000</v>
      </c>
      <c r="D9" t="s">
        <v>64</v>
      </c>
    </row>
    <row r="10" spans="1:6" x14ac:dyDescent="0.35">
      <c r="A10" t="s">
        <v>47</v>
      </c>
      <c r="B10">
        <v>170000</v>
      </c>
      <c r="C10">
        <v>185000</v>
      </c>
      <c r="D10" t="s">
        <v>63</v>
      </c>
    </row>
    <row r="11" spans="1:6" x14ac:dyDescent="0.35">
      <c r="A11" t="s">
        <v>48</v>
      </c>
      <c r="B11">
        <v>160000</v>
      </c>
      <c r="C11">
        <v>170000</v>
      </c>
      <c r="D11" t="s">
        <v>64</v>
      </c>
    </row>
    <row r="12" spans="1:6" x14ac:dyDescent="0.35">
      <c r="A12" t="s">
        <v>49</v>
      </c>
      <c r="B12">
        <v>150000</v>
      </c>
      <c r="C12">
        <v>160000</v>
      </c>
      <c r="D12" t="s">
        <v>64</v>
      </c>
    </row>
    <row r="13" spans="1:6" x14ac:dyDescent="0.35">
      <c r="A13" t="s">
        <v>50</v>
      </c>
      <c r="B13">
        <v>140000</v>
      </c>
      <c r="C13">
        <v>155000</v>
      </c>
      <c r="D13" t="s">
        <v>63</v>
      </c>
    </row>
    <row r="14" spans="1:6" x14ac:dyDescent="0.35">
      <c r="A14" t="s">
        <v>51</v>
      </c>
      <c r="B14">
        <v>130000</v>
      </c>
      <c r="C14">
        <v>145000</v>
      </c>
      <c r="D14" t="s">
        <v>63</v>
      </c>
    </row>
    <row r="15" spans="1:6" x14ac:dyDescent="0.35">
      <c r="A15" t="s">
        <v>52</v>
      </c>
      <c r="B15">
        <v>120000</v>
      </c>
      <c r="C15">
        <v>130000</v>
      </c>
      <c r="D15" t="s">
        <v>63</v>
      </c>
    </row>
    <row r="16" spans="1:6" x14ac:dyDescent="0.35">
      <c r="A16" t="s">
        <v>53</v>
      </c>
      <c r="B16">
        <v>110000</v>
      </c>
      <c r="C16">
        <v>120000</v>
      </c>
      <c r="D16" t="s">
        <v>63</v>
      </c>
    </row>
    <row r="17" spans="1:4" x14ac:dyDescent="0.35">
      <c r="A17" t="s">
        <v>54</v>
      </c>
      <c r="B17">
        <v>100000</v>
      </c>
      <c r="C17">
        <v>110000</v>
      </c>
      <c r="D17" t="s">
        <v>63</v>
      </c>
    </row>
    <row r="18" spans="1:4" x14ac:dyDescent="0.35">
      <c r="A18" t="s">
        <v>55</v>
      </c>
      <c r="B18">
        <v>95000</v>
      </c>
      <c r="C18">
        <v>105000</v>
      </c>
      <c r="D18" t="s">
        <v>63</v>
      </c>
    </row>
    <row r="19" spans="1:4" x14ac:dyDescent="0.35">
      <c r="A19" t="s">
        <v>56</v>
      </c>
      <c r="B19">
        <v>90000</v>
      </c>
      <c r="C19">
        <v>100000</v>
      </c>
      <c r="D19" t="s">
        <v>63</v>
      </c>
    </row>
    <row r="20" spans="1:4" x14ac:dyDescent="0.35">
      <c r="A20" t="s">
        <v>57</v>
      </c>
      <c r="B20">
        <v>85000</v>
      </c>
      <c r="C20">
        <v>95000</v>
      </c>
      <c r="D20" t="s">
        <v>63</v>
      </c>
    </row>
    <row r="21" spans="1:4" x14ac:dyDescent="0.35">
      <c r="A21" t="s">
        <v>58</v>
      </c>
      <c r="B21">
        <v>80000</v>
      </c>
      <c r="C21">
        <v>90000</v>
      </c>
      <c r="D21" t="s">
        <v>63</v>
      </c>
    </row>
  </sheetData>
  <conditionalFormatting sqref="A2:D21">
    <cfRule type="expression" dxfId="1" priority="1">
      <formula>$D2="Stable"</formula>
    </cfRule>
    <cfRule type="expression" dxfId="0" priority="2">
      <formula>$D2="Growth"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C24E-3F97-4859-B7A9-3E83A243C326}">
  <sheetPr codeName="Sheet13"/>
  <dimension ref="A1:E6"/>
  <sheetViews>
    <sheetView zoomScale="175" zoomScaleNormal="175" workbookViewId="0">
      <selection activeCell="E2" sqref="E2:E6"/>
    </sheetView>
  </sheetViews>
  <sheetFormatPr defaultRowHeight="14.5" x14ac:dyDescent="0.35"/>
  <cols>
    <col min="1" max="1" width="15.26953125" bestFit="1" customWidth="1"/>
    <col min="2" max="3" width="12.1796875" bestFit="1" customWidth="1"/>
    <col min="4" max="4" width="7" bestFit="1" customWidth="1"/>
  </cols>
  <sheetData>
    <row r="1" spans="1:5" x14ac:dyDescent="0.35">
      <c r="A1" t="s">
        <v>66</v>
      </c>
      <c r="B1" t="s">
        <v>72</v>
      </c>
      <c r="C1" t="s">
        <v>73</v>
      </c>
      <c r="D1" t="s">
        <v>59</v>
      </c>
    </row>
    <row r="2" spans="1:5" x14ac:dyDescent="0.35">
      <c r="A2" t="s">
        <v>67</v>
      </c>
      <c r="B2" s="3">
        <v>1200000</v>
      </c>
      <c r="C2" s="3">
        <v>1500000</v>
      </c>
      <c r="D2" s="3">
        <f t="shared" ref="D2:D6" si="0">+C2-B2</f>
        <v>300000</v>
      </c>
      <c r="E2" s="3"/>
    </row>
    <row r="3" spans="1:5" x14ac:dyDescent="0.35">
      <c r="A3" t="s">
        <v>68</v>
      </c>
      <c r="B3" s="3">
        <v>800000</v>
      </c>
      <c r="C3" s="3">
        <v>720000</v>
      </c>
      <c r="D3" s="3">
        <f t="shared" si="0"/>
        <v>-80000</v>
      </c>
      <c r="E3" s="3"/>
    </row>
    <row r="4" spans="1:5" x14ac:dyDescent="0.35">
      <c r="A4" t="s">
        <v>69</v>
      </c>
      <c r="B4" s="3">
        <v>500000</v>
      </c>
      <c r="C4" s="3">
        <v>450000</v>
      </c>
      <c r="D4" s="3">
        <f t="shared" si="0"/>
        <v>-50000</v>
      </c>
      <c r="E4" s="3"/>
    </row>
    <row r="5" spans="1:5" x14ac:dyDescent="0.35">
      <c r="A5" t="s">
        <v>70</v>
      </c>
      <c r="B5" s="3">
        <v>300000</v>
      </c>
      <c r="C5" s="3">
        <v>330000</v>
      </c>
      <c r="D5" s="3">
        <f t="shared" si="0"/>
        <v>30000</v>
      </c>
      <c r="E5" s="3"/>
    </row>
    <row r="6" spans="1:5" x14ac:dyDescent="0.35">
      <c r="A6" t="s">
        <v>71</v>
      </c>
      <c r="B6" s="3">
        <v>150000</v>
      </c>
      <c r="C6" s="3">
        <v>160000</v>
      </c>
      <c r="D6" s="3">
        <f t="shared" si="0"/>
        <v>10000</v>
      </c>
      <c r="E6" s="3"/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C7B7D532-C452-49F8-A7F1-039EB3A5D9E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D2:D6</xm:sqref>
        </x14:conditionalFormatting>
        <x14:conditionalFormatting xmlns:xm="http://schemas.microsoft.com/office/excel/2006/main">
          <x14:cfRule type="iconSet" priority="1" id="{48FFC376-82F4-4B8D-B11B-0850429E9F5E}">
            <x14:iconSet showValue="0"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Arrows" iconId="0"/>
              <x14:cfIcon iconSet="3Triangles" iconId="1"/>
              <x14:cfIcon iconSet="3Arrows" iconId="2"/>
            </x14:iconSet>
          </x14:cfRule>
          <xm:sqref>E2:E6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E7BC5-A98E-40B7-8C84-07A0FA6D10C7}">
  <sheetPr codeName="Sheet14"/>
  <dimension ref="A1:I21"/>
  <sheetViews>
    <sheetView zoomScale="145" zoomScaleNormal="145" workbookViewId="0">
      <selection activeCell="H3" sqref="H3"/>
    </sheetView>
  </sheetViews>
  <sheetFormatPr defaultRowHeight="14.5" x14ac:dyDescent="0.35"/>
  <cols>
    <col min="1" max="1" width="14.1796875" bestFit="1" customWidth="1"/>
    <col min="2" max="3" width="12.1796875" bestFit="1" customWidth="1"/>
    <col min="4" max="4" width="8" bestFit="1" customWidth="1"/>
    <col min="8" max="8" width="12.1796875" bestFit="1" customWidth="1"/>
    <col min="9" max="9" width="12.1796875" customWidth="1"/>
  </cols>
  <sheetData>
    <row r="1" spans="1:9" x14ac:dyDescent="0.35">
      <c r="A1" t="s">
        <v>36</v>
      </c>
      <c r="B1" t="s">
        <v>37</v>
      </c>
      <c r="C1" t="s">
        <v>38</v>
      </c>
      <c r="D1" t="s">
        <v>65</v>
      </c>
      <c r="H1" t="s">
        <v>37</v>
      </c>
      <c r="I1" t="s">
        <v>38</v>
      </c>
    </row>
    <row r="2" spans="1:9" x14ac:dyDescent="0.35">
      <c r="A2" t="s">
        <v>39</v>
      </c>
      <c r="B2">
        <v>500000</v>
      </c>
      <c r="C2">
        <v>550000</v>
      </c>
      <c r="D2" t="s">
        <v>63</v>
      </c>
      <c r="G2" t="s">
        <v>63</v>
      </c>
      <c r="H2">
        <f>SUMIFS(B$2:B$21,$D$2:$D$21,$G2)</f>
        <v>1820000</v>
      </c>
      <c r="I2">
        <f>SUMIFS(C$2:C$21,$D$2:$D$21,$G2)</f>
        <v>2005000</v>
      </c>
    </row>
    <row r="3" spans="1:9" x14ac:dyDescent="0.35">
      <c r="A3" t="s">
        <v>40</v>
      </c>
      <c r="B3">
        <v>450000</v>
      </c>
      <c r="C3">
        <v>480000</v>
      </c>
      <c r="D3" t="s">
        <v>64</v>
      </c>
      <c r="G3" t="s">
        <v>64</v>
      </c>
      <c r="H3">
        <f>SUMIFS(B$2:B$21,$D$2:$D$21,$G3)</f>
        <v>2020000</v>
      </c>
      <c r="I3">
        <f>SUMIFS(C$2:C$21,$D$2:$D$21,$G3)</f>
        <v>2135000</v>
      </c>
    </row>
    <row r="4" spans="1:9" x14ac:dyDescent="0.35">
      <c r="A4" t="s">
        <v>41</v>
      </c>
      <c r="B4">
        <v>300000</v>
      </c>
      <c r="C4">
        <v>320000</v>
      </c>
      <c r="D4" t="s">
        <v>64</v>
      </c>
    </row>
    <row r="5" spans="1:9" x14ac:dyDescent="0.35">
      <c r="A5" t="s">
        <v>42</v>
      </c>
      <c r="B5">
        <v>280000</v>
      </c>
      <c r="C5">
        <v>290000</v>
      </c>
      <c r="D5" t="s">
        <v>64</v>
      </c>
      <c r="H5" t="s">
        <v>217</v>
      </c>
    </row>
    <row r="6" spans="1:9" x14ac:dyDescent="0.35">
      <c r="A6" t="s">
        <v>43</v>
      </c>
      <c r="B6">
        <v>260000</v>
      </c>
      <c r="C6">
        <v>270000</v>
      </c>
      <c r="D6" t="s">
        <v>64</v>
      </c>
      <c r="H6" t="s">
        <v>218</v>
      </c>
    </row>
    <row r="7" spans="1:9" x14ac:dyDescent="0.35">
      <c r="A7" t="s">
        <v>44</v>
      </c>
      <c r="B7">
        <v>240000</v>
      </c>
      <c r="C7">
        <v>255000</v>
      </c>
      <c r="D7" t="s">
        <v>64</v>
      </c>
      <c r="H7" t="s">
        <v>221</v>
      </c>
    </row>
    <row r="8" spans="1:9" x14ac:dyDescent="0.35">
      <c r="A8" t="s">
        <v>45</v>
      </c>
      <c r="B8">
        <v>200000</v>
      </c>
      <c r="C8">
        <v>220000</v>
      </c>
      <c r="D8" t="s">
        <v>63</v>
      </c>
      <c r="H8" t="s">
        <v>219</v>
      </c>
    </row>
    <row r="9" spans="1:9" x14ac:dyDescent="0.35">
      <c r="A9" t="s">
        <v>46</v>
      </c>
      <c r="B9">
        <v>180000</v>
      </c>
      <c r="C9">
        <v>190000</v>
      </c>
      <c r="D9" t="s">
        <v>64</v>
      </c>
      <c r="H9" t="s">
        <v>220</v>
      </c>
    </row>
    <row r="10" spans="1:9" x14ac:dyDescent="0.35">
      <c r="A10" t="s">
        <v>47</v>
      </c>
      <c r="B10">
        <v>170000</v>
      </c>
      <c r="C10">
        <v>185000</v>
      </c>
      <c r="D10" t="s">
        <v>63</v>
      </c>
    </row>
    <row r="11" spans="1:9" x14ac:dyDescent="0.35">
      <c r="A11" t="s">
        <v>48</v>
      </c>
      <c r="B11">
        <v>160000</v>
      </c>
      <c r="C11">
        <v>170000</v>
      </c>
      <c r="D11" t="s">
        <v>64</v>
      </c>
    </row>
    <row r="12" spans="1:9" x14ac:dyDescent="0.35">
      <c r="A12" t="s">
        <v>49</v>
      </c>
      <c r="B12">
        <v>150000</v>
      </c>
      <c r="C12">
        <v>160000</v>
      </c>
      <c r="D12" t="s">
        <v>64</v>
      </c>
    </row>
    <row r="13" spans="1:9" x14ac:dyDescent="0.35">
      <c r="A13" t="s">
        <v>50</v>
      </c>
      <c r="B13">
        <v>140000</v>
      </c>
      <c r="C13">
        <v>155000</v>
      </c>
      <c r="D13" t="s">
        <v>63</v>
      </c>
    </row>
    <row r="14" spans="1:9" x14ac:dyDescent="0.35">
      <c r="A14" t="s">
        <v>51</v>
      </c>
      <c r="B14">
        <v>130000</v>
      </c>
      <c r="C14">
        <v>145000</v>
      </c>
      <c r="D14" t="s">
        <v>63</v>
      </c>
    </row>
    <row r="15" spans="1:9" x14ac:dyDescent="0.35">
      <c r="A15" t="s">
        <v>52</v>
      </c>
      <c r="B15">
        <v>120000</v>
      </c>
      <c r="C15">
        <v>130000</v>
      </c>
      <c r="D15" t="s">
        <v>63</v>
      </c>
    </row>
    <row r="16" spans="1:9" x14ac:dyDescent="0.35">
      <c r="A16" t="s">
        <v>53</v>
      </c>
      <c r="B16">
        <v>110000</v>
      </c>
      <c r="C16">
        <v>120000</v>
      </c>
      <c r="D16" t="s">
        <v>63</v>
      </c>
    </row>
    <row r="17" spans="1:4" x14ac:dyDescent="0.35">
      <c r="A17" t="s">
        <v>54</v>
      </c>
      <c r="B17">
        <v>100000</v>
      </c>
      <c r="C17">
        <v>110000</v>
      </c>
      <c r="D17" t="s">
        <v>63</v>
      </c>
    </row>
    <row r="18" spans="1:4" x14ac:dyDescent="0.35">
      <c r="A18" t="s">
        <v>55</v>
      </c>
      <c r="B18">
        <v>95000</v>
      </c>
      <c r="C18">
        <v>105000</v>
      </c>
      <c r="D18" t="s">
        <v>63</v>
      </c>
    </row>
    <row r="19" spans="1:4" x14ac:dyDescent="0.35">
      <c r="A19" t="s">
        <v>56</v>
      </c>
      <c r="B19">
        <v>90000</v>
      </c>
      <c r="C19">
        <v>100000</v>
      </c>
      <c r="D19" t="s">
        <v>63</v>
      </c>
    </row>
    <row r="20" spans="1:4" x14ac:dyDescent="0.35">
      <c r="A20" t="s">
        <v>57</v>
      </c>
      <c r="B20">
        <v>85000</v>
      </c>
      <c r="C20">
        <v>95000</v>
      </c>
      <c r="D20" t="s">
        <v>63</v>
      </c>
    </row>
    <row r="21" spans="1:4" x14ac:dyDescent="0.35">
      <c r="A21" t="s">
        <v>58</v>
      </c>
      <c r="B21">
        <v>80000</v>
      </c>
      <c r="C21">
        <v>90000</v>
      </c>
      <c r="D21" t="s">
        <v>63</v>
      </c>
    </row>
  </sheetData>
  <autoFilter ref="A1:D21" xr:uid="{BE5E7BC5-A98E-40B7-8C84-07A0FA6D10C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3D609-3E1A-42A1-BD08-5F1CC0296495}">
  <sheetPr codeName="Sheet15"/>
  <dimension ref="A1:H5"/>
  <sheetViews>
    <sheetView zoomScale="145" zoomScaleNormal="145" workbookViewId="0">
      <selection activeCell="J1" sqref="J1"/>
    </sheetView>
  </sheetViews>
  <sheetFormatPr defaultRowHeight="14.5" x14ac:dyDescent="0.35"/>
  <cols>
    <col min="2" max="5" width="7.7265625" bestFit="1" customWidth="1"/>
  </cols>
  <sheetData>
    <row r="1" spans="1:8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F1" s="1"/>
      <c r="G1" s="1"/>
      <c r="H1" s="1"/>
    </row>
    <row r="2" spans="1:8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8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8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8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8557-263A-49CD-BE43-9FDE144EBF95}">
  <sheetPr codeName="Sheet16"/>
  <dimension ref="A1:H5"/>
  <sheetViews>
    <sheetView zoomScale="160" zoomScaleNormal="160" workbookViewId="0">
      <selection activeCell="F2" sqref="F2:H5"/>
    </sheetView>
  </sheetViews>
  <sheetFormatPr defaultRowHeight="14.5" x14ac:dyDescent="0.35"/>
  <cols>
    <col min="2" max="5" width="7.90625" bestFit="1" customWidth="1"/>
    <col min="6" max="8" width="9.453125" bestFit="1" customWidth="1"/>
  </cols>
  <sheetData>
    <row r="1" spans="1:8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F1" t="s">
        <v>79</v>
      </c>
      <c r="G1" t="s">
        <v>80</v>
      </c>
      <c r="H1" t="s">
        <v>81</v>
      </c>
    </row>
    <row r="2" spans="1:8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8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8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8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3CA21-E378-4463-A6A6-98E6E8F41F1A}">
  <sheetPr codeName="Sheet17"/>
  <dimension ref="A1:E11"/>
  <sheetViews>
    <sheetView zoomScale="160" zoomScaleNormal="160" workbookViewId="0">
      <selection activeCell="E9" sqref="E9"/>
    </sheetView>
  </sheetViews>
  <sheetFormatPr defaultRowHeight="14.5" x14ac:dyDescent="0.35"/>
  <cols>
    <col min="2" max="2" width="7.90625" bestFit="1" customWidth="1"/>
    <col min="3" max="5" width="9.54296875" bestFit="1" customWidth="1"/>
    <col min="6" max="8" width="9.453125" bestFit="1" customWidth="1"/>
  </cols>
  <sheetData>
    <row r="1" spans="1:5" x14ac:dyDescent="0.35">
      <c r="A1" t="s">
        <v>74</v>
      </c>
      <c r="B1">
        <v>2021</v>
      </c>
      <c r="C1">
        <v>2022</v>
      </c>
      <c r="D1">
        <v>2023</v>
      </c>
      <c r="E1">
        <v>2024</v>
      </c>
    </row>
    <row r="2" spans="1:5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5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5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5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  <row r="7" spans="1:5" x14ac:dyDescent="0.35">
      <c r="A7" t="s">
        <v>74</v>
      </c>
      <c r="C7" t="s">
        <v>79</v>
      </c>
      <c r="D7" t="s">
        <v>80</v>
      </c>
      <c r="E7" t="s">
        <v>81</v>
      </c>
    </row>
    <row r="8" spans="1:5" x14ac:dyDescent="0.35">
      <c r="A8" t="s">
        <v>75</v>
      </c>
    </row>
    <row r="9" spans="1:5" x14ac:dyDescent="0.35">
      <c r="A9" t="s">
        <v>76</v>
      </c>
    </row>
    <row r="10" spans="1:5" x14ac:dyDescent="0.35">
      <c r="A10" t="s">
        <v>77</v>
      </c>
    </row>
    <row r="11" spans="1:5" x14ac:dyDescent="0.35">
      <c r="A11" t="s">
        <v>78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8EDF6-8512-47B7-8CAB-8A98F4A42075}">
  <sheetPr codeName="Sheet18"/>
  <dimension ref="A1:G11"/>
  <sheetViews>
    <sheetView zoomScale="160" zoomScaleNormal="160" workbookViewId="0">
      <selection activeCell="F7" sqref="F7"/>
    </sheetView>
  </sheetViews>
  <sheetFormatPr defaultRowHeight="14.5" x14ac:dyDescent="0.35"/>
  <cols>
    <col min="2" max="2" width="7.90625" bestFit="1" customWidth="1"/>
    <col min="3" max="5" width="9.54296875" bestFit="1" customWidth="1"/>
    <col min="6" max="8" width="9.453125" bestFit="1" customWidth="1"/>
  </cols>
  <sheetData>
    <row r="1" spans="1:7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G1" t="s">
        <v>82</v>
      </c>
    </row>
    <row r="2" spans="1:7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7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7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7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  <row r="7" spans="1:7" ht="15" thickBot="1" x14ac:dyDescent="0.4">
      <c r="A7" t="s">
        <v>74</v>
      </c>
      <c r="C7" t="s">
        <v>79</v>
      </c>
      <c r="D7" t="s">
        <v>80</v>
      </c>
      <c r="E7" t="s">
        <v>81</v>
      </c>
    </row>
    <row r="8" spans="1:7" x14ac:dyDescent="0.35">
      <c r="A8" t="s">
        <v>75</v>
      </c>
      <c r="C8" s="4"/>
      <c r="D8" s="5"/>
      <c r="E8" s="6"/>
    </row>
    <row r="9" spans="1:7" x14ac:dyDescent="0.35">
      <c r="A9" t="s">
        <v>76</v>
      </c>
      <c r="C9" s="7"/>
      <c r="E9" s="8"/>
    </row>
    <row r="10" spans="1:7" x14ac:dyDescent="0.35">
      <c r="A10" t="s">
        <v>77</v>
      </c>
      <c r="C10" s="7"/>
      <c r="E10" s="8"/>
    </row>
    <row r="11" spans="1:7" ht="15" thickBot="1" x14ac:dyDescent="0.4">
      <c r="A11" t="s">
        <v>78</v>
      </c>
      <c r="C11" s="9"/>
      <c r="D11" s="10"/>
      <c r="E11" s="11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AA02-81E6-4A9C-9BFD-AE72DA6F1F8D}">
  <sheetPr codeName="Sheet19"/>
  <dimension ref="A1:G11"/>
  <sheetViews>
    <sheetView zoomScale="160" zoomScaleNormal="160" workbookViewId="0">
      <selection activeCell="D9" sqref="D9"/>
    </sheetView>
  </sheetViews>
  <sheetFormatPr defaultRowHeight="14.5" x14ac:dyDescent="0.35"/>
  <cols>
    <col min="2" max="2" width="7.90625" bestFit="1" customWidth="1"/>
    <col min="3" max="5" width="9.54296875" bestFit="1" customWidth="1"/>
    <col min="6" max="8" width="9.453125" bestFit="1" customWidth="1"/>
  </cols>
  <sheetData>
    <row r="1" spans="1:7" x14ac:dyDescent="0.35">
      <c r="A1" t="s">
        <v>74</v>
      </c>
      <c r="B1">
        <v>2021</v>
      </c>
      <c r="C1">
        <v>2022</v>
      </c>
      <c r="D1">
        <v>2023</v>
      </c>
      <c r="E1">
        <v>2024</v>
      </c>
      <c r="G1" t="s">
        <v>82</v>
      </c>
    </row>
    <row r="2" spans="1:7" x14ac:dyDescent="0.35">
      <c r="A2" t="s">
        <v>75</v>
      </c>
      <c r="B2" s="3">
        <v>500000</v>
      </c>
      <c r="C2" s="3">
        <v>520000</v>
      </c>
      <c r="D2" s="3">
        <v>550000</v>
      </c>
      <c r="E2" s="3">
        <v>580000</v>
      </c>
    </row>
    <row r="3" spans="1:7" x14ac:dyDescent="0.35">
      <c r="A3" t="s">
        <v>76</v>
      </c>
      <c r="B3" s="3">
        <v>350000</v>
      </c>
      <c r="C3" s="3">
        <v>370000</v>
      </c>
      <c r="D3" s="3">
        <v>390000</v>
      </c>
      <c r="E3" s="3">
        <v>410000</v>
      </c>
    </row>
    <row r="4" spans="1:7" x14ac:dyDescent="0.35">
      <c r="A4" t="s">
        <v>77</v>
      </c>
      <c r="B4" s="3">
        <v>450000</v>
      </c>
      <c r="C4" s="3">
        <v>470000</v>
      </c>
      <c r="D4" s="3">
        <v>490000</v>
      </c>
      <c r="E4" s="3">
        <v>510000</v>
      </c>
    </row>
    <row r="5" spans="1:7" x14ac:dyDescent="0.35">
      <c r="A5" t="s">
        <v>78</v>
      </c>
      <c r="B5" s="3">
        <v>300000</v>
      </c>
      <c r="C5" s="3">
        <v>310000</v>
      </c>
      <c r="D5" s="3">
        <v>330000</v>
      </c>
      <c r="E5" s="3">
        <v>340000</v>
      </c>
    </row>
    <row r="7" spans="1:7" x14ac:dyDescent="0.35">
      <c r="A7" t="s">
        <v>74</v>
      </c>
      <c r="C7" t="s">
        <v>79</v>
      </c>
      <c r="D7" t="s">
        <v>80</v>
      </c>
      <c r="E7" t="s">
        <v>81</v>
      </c>
    </row>
    <row r="8" spans="1:7" x14ac:dyDescent="0.35">
      <c r="A8" t="s">
        <v>75</v>
      </c>
    </row>
    <row r="9" spans="1:7" x14ac:dyDescent="0.35">
      <c r="A9" t="s">
        <v>76</v>
      </c>
    </row>
    <row r="10" spans="1:7" x14ac:dyDescent="0.35">
      <c r="A10" t="s">
        <v>77</v>
      </c>
    </row>
    <row r="11" spans="1:7" x14ac:dyDescent="0.35">
      <c r="A11" t="s">
        <v>78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2CF36-B7DE-4033-B9EB-36DE5B7C5510}">
  <sheetPr codeName="Sheet20"/>
  <dimension ref="A1:J8"/>
  <sheetViews>
    <sheetView zoomScale="145" zoomScaleNormal="145" workbookViewId="0">
      <selection activeCell="E3" sqref="E3"/>
    </sheetView>
  </sheetViews>
  <sheetFormatPr defaultRowHeight="14.5" x14ac:dyDescent="0.35"/>
  <cols>
    <col min="1" max="1" width="8" bestFit="1" customWidth="1"/>
    <col min="2" max="2" width="8.90625" bestFit="1" customWidth="1"/>
    <col min="3" max="3" width="8" bestFit="1" customWidth="1"/>
    <col min="4" max="4" width="14.54296875" customWidth="1"/>
    <col min="5" max="5" width="9.1796875" customWidth="1"/>
    <col min="9" max="9" width="9" bestFit="1" customWidth="1"/>
    <col min="10" max="10" width="11.36328125" bestFit="1" customWidth="1"/>
  </cols>
  <sheetData>
    <row r="1" spans="1:10" x14ac:dyDescent="0.35">
      <c r="A1" t="s">
        <v>83</v>
      </c>
      <c r="B1" t="s">
        <v>66</v>
      </c>
      <c r="C1" t="s">
        <v>84</v>
      </c>
      <c r="D1" t="s">
        <v>85</v>
      </c>
      <c r="E1" t="s">
        <v>91</v>
      </c>
      <c r="I1" t="s">
        <v>66</v>
      </c>
      <c r="J1" t="s">
        <v>89</v>
      </c>
    </row>
    <row r="2" spans="1:10" x14ac:dyDescent="0.35">
      <c r="A2">
        <v>1001</v>
      </c>
      <c r="B2" t="s">
        <v>86</v>
      </c>
      <c r="C2">
        <v>10</v>
      </c>
      <c r="D2" s="1">
        <f>VLOOKUP(B2,$I$2:$J$5,2,0)</f>
        <v>20</v>
      </c>
      <c r="E2" s="1">
        <f>+D2*C2</f>
        <v>200</v>
      </c>
      <c r="I2" t="s">
        <v>86</v>
      </c>
      <c r="J2">
        <v>20</v>
      </c>
    </row>
    <row r="3" spans="1:10" x14ac:dyDescent="0.35">
      <c r="A3">
        <v>1002</v>
      </c>
      <c r="B3" t="s">
        <v>87</v>
      </c>
      <c r="C3">
        <v>5</v>
      </c>
      <c r="D3" s="1">
        <f t="shared" ref="D3:D6" si="0">VLOOKUP(B3,$I$2:$J$5,2,0)</f>
        <v>30</v>
      </c>
      <c r="E3" s="1">
        <f t="shared" ref="E3:E6" si="1">+D3*C3</f>
        <v>150</v>
      </c>
      <c r="I3" t="s">
        <v>87</v>
      </c>
      <c r="J3">
        <v>30</v>
      </c>
    </row>
    <row r="4" spans="1:10" x14ac:dyDescent="0.35">
      <c r="A4">
        <v>1003</v>
      </c>
      <c r="B4" t="s">
        <v>86</v>
      </c>
      <c r="C4">
        <v>8</v>
      </c>
      <c r="D4" s="1">
        <f t="shared" si="0"/>
        <v>20</v>
      </c>
      <c r="E4" s="1">
        <f t="shared" si="1"/>
        <v>160</v>
      </c>
      <c r="I4" t="s">
        <v>88</v>
      </c>
      <c r="J4">
        <v>15</v>
      </c>
    </row>
    <row r="5" spans="1:10" x14ac:dyDescent="0.35">
      <c r="A5">
        <v>1004</v>
      </c>
      <c r="B5" t="s">
        <v>88</v>
      </c>
      <c r="C5">
        <v>15</v>
      </c>
      <c r="D5" s="1">
        <f t="shared" si="0"/>
        <v>15</v>
      </c>
      <c r="E5" s="1">
        <f t="shared" si="1"/>
        <v>225</v>
      </c>
      <c r="I5" t="s">
        <v>90</v>
      </c>
      <c r="J5">
        <v>25</v>
      </c>
    </row>
    <row r="6" spans="1:10" x14ac:dyDescent="0.35">
      <c r="A6">
        <v>1005</v>
      </c>
      <c r="B6" t="s">
        <v>87</v>
      </c>
      <c r="C6">
        <v>3</v>
      </c>
      <c r="D6" s="1">
        <f t="shared" si="0"/>
        <v>30</v>
      </c>
      <c r="E6" s="1">
        <f t="shared" si="1"/>
        <v>90</v>
      </c>
    </row>
    <row r="8" spans="1:10" x14ac:dyDescent="0.35">
      <c r="B8" t="s">
        <v>222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64990-7240-477C-AE54-84030622FD0F}">
  <sheetPr codeName="Sheet21"/>
  <dimension ref="A1:I5"/>
  <sheetViews>
    <sheetView zoomScale="130" zoomScaleNormal="130" workbookViewId="0">
      <selection activeCell="D3" sqref="D3"/>
    </sheetView>
  </sheetViews>
  <sheetFormatPr defaultRowHeight="14.5" x14ac:dyDescent="0.35"/>
  <cols>
    <col min="1" max="1" width="11.26953125" bestFit="1" customWidth="1"/>
    <col min="2" max="2" width="14.453125" bestFit="1" customWidth="1"/>
    <col min="3" max="3" width="13.26953125" bestFit="1" customWidth="1"/>
    <col min="4" max="4" width="16.36328125" bestFit="1" customWidth="1"/>
    <col min="5" max="5" width="7.54296875" bestFit="1" customWidth="1"/>
    <col min="8" max="8" width="13.26953125" bestFit="1" customWidth="1"/>
    <col min="9" max="9" width="16.36328125" bestFit="1" customWidth="1"/>
    <col min="10" max="10" width="11.36328125" bestFit="1" customWidth="1"/>
  </cols>
  <sheetData>
    <row r="1" spans="1:9" x14ac:dyDescent="0.35">
      <c r="A1" t="s">
        <v>92</v>
      </c>
      <c r="B1" t="s">
        <v>93</v>
      </c>
      <c r="C1" t="s">
        <v>94</v>
      </c>
      <c r="D1" t="s">
        <v>99</v>
      </c>
      <c r="H1" t="s">
        <v>94</v>
      </c>
      <c r="I1" t="s">
        <v>99</v>
      </c>
    </row>
    <row r="2" spans="1:9" x14ac:dyDescent="0.35">
      <c r="A2">
        <v>101</v>
      </c>
      <c r="B2" t="s">
        <v>95</v>
      </c>
      <c r="C2">
        <v>201</v>
      </c>
      <c r="D2" s="1" t="str">
        <f>VLOOKUP(C2,$H$2:$I$4,2,0)</f>
        <v>Sales</v>
      </c>
      <c r="H2">
        <v>201</v>
      </c>
      <c r="I2" t="s">
        <v>3</v>
      </c>
    </row>
    <row r="3" spans="1:9" x14ac:dyDescent="0.35">
      <c r="A3">
        <v>102</v>
      </c>
      <c r="B3" t="s">
        <v>96</v>
      </c>
      <c r="C3">
        <v>202</v>
      </c>
      <c r="D3" s="1" t="str">
        <f t="shared" ref="D3:D5" si="0">VLOOKUP(C3,$H$2:$I$4,2,0)</f>
        <v>Marketing</v>
      </c>
      <c r="H3">
        <v>202</v>
      </c>
      <c r="I3" t="s">
        <v>100</v>
      </c>
    </row>
    <row r="4" spans="1:9" x14ac:dyDescent="0.35">
      <c r="A4">
        <v>103</v>
      </c>
      <c r="B4" t="s">
        <v>97</v>
      </c>
      <c r="C4">
        <v>201</v>
      </c>
      <c r="D4" s="1" t="str">
        <f t="shared" si="0"/>
        <v>Sales</v>
      </c>
      <c r="H4">
        <v>203</v>
      </c>
      <c r="I4" t="s">
        <v>101</v>
      </c>
    </row>
    <row r="5" spans="1:9" x14ac:dyDescent="0.35">
      <c r="A5">
        <v>104</v>
      </c>
      <c r="B5" t="s">
        <v>98</v>
      </c>
      <c r="C5">
        <v>203</v>
      </c>
      <c r="D5" s="1" t="str">
        <f t="shared" si="0"/>
        <v>Finance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9DD6F-DB75-4924-8B24-8CAD8F0E7FE9}">
  <sheetPr codeName="Sheet22"/>
  <dimension ref="A1:L12"/>
  <sheetViews>
    <sheetView zoomScale="130" zoomScaleNormal="130" workbookViewId="0">
      <selection activeCell="K3" sqref="K3"/>
    </sheetView>
  </sheetViews>
  <sheetFormatPr defaultRowHeight="14.5" x14ac:dyDescent="0.35"/>
  <cols>
    <col min="1" max="1" width="10.26953125" bestFit="1" customWidth="1"/>
    <col min="2" max="2" width="13.453125" bestFit="1" customWidth="1"/>
    <col min="3" max="3" width="17.7265625" bestFit="1" customWidth="1"/>
    <col min="8" max="8" width="10.26953125" bestFit="1" customWidth="1"/>
    <col min="9" max="9" width="13.453125" bestFit="1" customWidth="1"/>
    <col min="12" max="12" width="10.26953125" bestFit="1" customWidth="1"/>
  </cols>
  <sheetData>
    <row r="1" spans="1:12" x14ac:dyDescent="0.35">
      <c r="A1" t="s">
        <v>102</v>
      </c>
      <c r="B1" t="s">
        <v>103</v>
      </c>
      <c r="C1" t="s">
        <v>104</v>
      </c>
      <c r="H1" t="s">
        <v>102</v>
      </c>
      <c r="I1" t="s">
        <v>103</v>
      </c>
      <c r="J1" t="s">
        <v>114</v>
      </c>
      <c r="K1" t="s">
        <v>113</v>
      </c>
      <c r="L1" t="s">
        <v>91</v>
      </c>
    </row>
    <row r="2" spans="1:12" x14ac:dyDescent="0.35">
      <c r="A2" t="s">
        <v>105</v>
      </c>
      <c r="B2" t="s">
        <v>106</v>
      </c>
      <c r="C2">
        <v>1000</v>
      </c>
      <c r="H2" t="s">
        <v>107</v>
      </c>
      <c r="I2" t="str">
        <f>VLOOKUP($H2,$A$2:$C$5,2,0)</f>
        <v>Machine B</v>
      </c>
      <c r="J2">
        <f>VLOOKUP($H2,$A$2:$C$5,3,0)</f>
        <v>850</v>
      </c>
      <c r="K2">
        <f>VLOOKUP($H2,$A$9:$B$12,2,0)</f>
        <v>492000</v>
      </c>
      <c r="L2">
        <f>+K2*J2</f>
        <v>418200000</v>
      </c>
    </row>
    <row r="3" spans="1:12" x14ac:dyDescent="0.35">
      <c r="A3" t="s">
        <v>107</v>
      </c>
      <c r="B3" t="s">
        <v>108</v>
      </c>
      <c r="C3">
        <v>850</v>
      </c>
      <c r="H3" t="s">
        <v>109</v>
      </c>
      <c r="I3" t="str">
        <f t="shared" ref="I3:I5" si="0">VLOOKUP($H3,$A$2:$C$5,2,0)</f>
        <v>Machine C</v>
      </c>
      <c r="J3">
        <f t="shared" ref="J3:J5" si="1">VLOOKUP($H3,$A$2:$C$5,3,0)</f>
        <v>1200</v>
      </c>
      <c r="K3">
        <f t="shared" ref="K3:K5" si="2">VLOOKUP($H3,$A$9:$B$12,2,0)</f>
        <v>77000</v>
      </c>
      <c r="L3">
        <f t="shared" ref="L3:L5" si="3">+K3*J3</f>
        <v>92400000</v>
      </c>
    </row>
    <row r="4" spans="1:12" x14ac:dyDescent="0.35">
      <c r="A4" t="s">
        <v>109</v>
      </c>
      <c r="B4" t="s">
        <v>110</v>
      </c>
      <c r="C4">
        <v>1200</v>
      </c>
      <c r="H4" t="s">
        <v>105</v>
      </c>
      <c r="I4" t="str">
        <f t="shared" si="0"/>
        <v>Machine A</v>
      </c>
      <c r="J4">
        <f t="shared" si="1"/>
        <v>1000</v>
      </c>
      <c r="K4">
        <f t="shared" si="2"/>
        <v>85000</v>
      </c>
      <c r="L4">
        <f t="shared" si="3"/>
        <v>85000000</v>
      </c>
    </row>
    <row r="5" spans="1:12" x14ac:dyDescent="0.35">
      <c r="A5" t="s">
        <v>111</v>
      </c>
      <c r="B5" t="s">
        <v>112</v>
      </c>
      <c r="C5">
        <v>700</v>
      </c>
      <c r="H5" t="s">
        <v>111</v>
      </c>
      <c r="I5" t="str">
        <f t="shared" si="0"/>
        <v>Machine D</v>
      </c>
      <c r="J5">
        <f t="shared" si="1"/>
        <v>700</v>
      </c>
      <c r="K5">
        <f t="shared" si="2"/>
        <v>415000</v>
      </c>
      <c r="L5">
        <f t="shared" si="3"/>
        <v>290500000</v>
      </c>
    </row>
    <row r="8" spans="1:12" x14ac:dyDescent="0.35">
      <c r="A8" t="s">
        <v>102</v>
      </c>
      <c r="B8" t="s">
        <v>113</v>
      </c>
    </row>
    <row r="9" spans="1:12" x14ac:dyDescent="0.35">
      <c r="A9" t="s">
        <v>105</v>
      </c>
      <c r="B9">
        <v>85000</v>
      </c>
    </row>
    <row r="10" spans="1:12" x14ac:dyDescent="0.35">
      <c r="A10" t="s">
        <v>107</v>
      </c>
      <c r="B10">
        <v>492000</v>
      </c>
    </row>
    <row r="11" spans="1:12" x14ac:dyDescent="0.35">
      <c r="A11" t="s">
        <v>109</v>
      </c>
      <c r="B11">
        <v>77000</v>
      </c>
    </row>
    <row r="12" spans="1:12" x14ac:dyDescent="0.35">
      <c r="A12" t="s">
        <v>111</v>
      </c>
      <c r="B12">
        <v>415000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2D-FAE9-4DE8-AC46-C7D94E6772F7}">
  <sheetPr codeName="Sheet23"/>
  <dimension ref="A1:F12"/>
  <sheetViews>
    <sheetView zoomScale="130" zoomScaleNormal="130" workbookViewId="0">
      <selection activeCell="B10" sqref="B10"/>
    </sheetView>
  </sheetViews>
  <sheetFormatPr defaultRowHeight="14.5" x14ac:dyDescent="0.35"/>
  <cols>
    <col min="1" max="1" width="11.81640625" customWidth="1"/>
    <col min="2" max="2" width="15" customWidth="1"/>
    <col min="3" max="3" width="19.54296875" customWidth="1"/>
    <col min="8" max="8" width="10.26953125" bestFit="1" customWidth="1"/>
    <col min="9" max="9" width="13.453125" bestFit="1" customWidth="1"/>
  </cols>
  <sheetData>
    <row r="1" spans="1:6" x14ac:dyDescent="0.35">
      <c r="A1" t="s">
        <v>102</v>
      </c>
      <c r="B1" t="s">
        <v>103</v>
      </c>
      <c r="C1" t="s">
        <v>104</v>
      </c>
      <c r="F1" t="s">
        <v>223</v>
      </c>
    </row>
    <row r="2" spans="1:6" x14ac:dyDescent="0.35">
      <c r="A2" t="s">
        <v>105</v>
      </c>
      <c r="B2" t="s">
        <v>106</v>
      </c>
      <c r="C2">
        <v>1000</v>
      </c>
    </row>
    <row r="3" spans="1:6" x14ac:dyDescent="0.35">
      <c r="A3" t="s">
        <v>107</v>
      </c>
      <c r="B3" t="s">
        <v>108</v>
      </c>
      <c r="C3">
        <v>850</v>
      </c>
    </row>
    <row r="4" spans="1:6" x14ac:dyDescent="0.35">
      <c r="A4" t="s">
        <v>109</v>
      </c>
      <c r="B4" t="s">
        <v>110</v>
      </c>
      <c r="C4">
        <v>1200</v>
      </c>
    </row>
    <row r="5" spans="1:6" x14ac:dyDescent="0.35">
      <c r="A5" t="s">
        <v>111</v>
      </c>
      <c r="B5" t="s">
        <v>112</v>
      </c>
      <c r="C5">
        <v>700</v>
      </c>
    </row>
    <row r="8" spans="1:6" x14ac:dyDescent="0.35">
      <c r="A8" t="s">
        <v>102</v>
      </c>
      <c r="B8" t="s">
        <v>113</v>
      </c>
    </row>
    <row r="9" spans="1:6" x14ac:dyDescent="0.35">
      <c r="A9" t="s">
        <v>105</v>
      </c>
      <c r="B9">
        <v>85000</v>
      </c>
    </row>
    <row r="10" spans="1:6" x14ac:dyDescent="0.35">
      <c r="A10" t="s">
        <v>107</v>
      </c>
      <c r="B10">
        <v>492000</v>
      </c>
    </row>
    <row r="11" spans="1:6" x14ac:dyDescent="0.35">
      <c r="A11" t="s">
        <v>109</v>
      </c>
      <c r="B11">
        <v>77000</v>
      </c>
    </row>
    <row r="12" spans="1:6" x14ac:dyDescent="0.35">
      <c r="A12" t="s">
        <v>111</v>
      </c>
      <c r="B12">
        <v>415000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8F035-5423-4EAD-BC68-009474E7BD4E}">
  <sheetPr codeName="Sheet24"/>
  <dimension ref="A1:E5"/>
  <sheetViews>
    <sheetView zoomScale="130" zoomScaleNormal="130" workbookViewId="0">
      <selection activeCell="B3" sqref="B3"/>
    </sheetView>
  </sheetViews>
  <sheetFormatPr defaultRowHeight="14.5" x14ac:dyDescent="0.35"/>
  <cols>
    <col min="1" max="1" width="10.26953125" bestFit="1" customWidth="1"/>
    <col min="2" max="2" width="13.453125" bestFit="1" customWidth="1"/>
    <col min="5" max="5" width="10.26953125" bestFit="1" customWidth="1"/>
  </cols>
  <sheetData>
    <row r="1" spans="1:5" x14ac:dyDescent="0.35">
      <c r="A1" t="s">
        <v>102</v>
      </c>
      <c r="B1" t="s">
        <v>103</v>
      </c>
      <c r="C1" t="s">
        <v>114</v>
      </c>
      <c r="D1" t="s">
        <v>113</v>
      </c>
      <c r="E1" t="s">
        <v>91</v>
      </c>
    </row>
    <row r="2" spans="1:5" x14ac:dyDescent="0.35">
      <c r="A2" t="s">
        <v>107</v>
      </c>
      <c r="B2" t="str">
        <f>VLOOKUP($A2,Machine_Qty[],2,0)</f>
        <v>Machine B</v>
      </c>
      <c r="C2">
        <f>VLOOKUP($A2,Machine_Qty[],3,0)</f>
        <v>850</v>
      </c>
      <c r="D2">
        <f>VLOOKUP($A2,Machine_Rate[],2,0)</f>
        <v>492000</v>
      </c>
      <c r="E2">
        <f>+D2*C2</f>
        <v>418200000</v>
      </c>
    </row>
    <row r="3" spans="1:5" x14ac:dyDescent="0.35">
      <c r="A3" t="s">
        <v>109</v>
      </c>
      <c r="B3" t="str">
        <f>VLOOKUP($A3,Machine_Qty[],2,0)</f>
        <v>Machine C</v>
      </c>
      <c r="C3">
        <f>VLOOKUP($A3,Machine_Qty[],3,0)</f>
        <v>1200</v>
      </c>
      <c r="D3">
        <f>VLOOKUP($A3,Machine_Rate[],2,0)</f>
        <v>77000</v>
      </c>
      <c r="E3">
        <f t="shared" ref="E3:E5" si="0">+D3*C3</f>
        <v>92400000</v>
      </c>
    </row>
    <row r="4" spans="1:5" x14ac:dyDescent="0.35">
      <c r="A4" t="s">
        <v>105</v>
      </c>
      <c r="B4" t="str">
        <f>VLOOKUP($A4,Machine_Qty[],2,0)</f>
        <v>Machine A</v>
      </c>
      <c r="C4">
        <f>VLOOKUP($A4,Machine_Qty[],3,0)</f>
        <v>1000</v>
      </c>
      <c r="D4">
        <f>VLOOKUP($A4,Machine_Rate[],2,0)</f>
        <v>85000</v>
      </c>
      <c r="E4">
        <f t="shared" si="0"/>
        <v>85000000</v>
      </c>
    </row>
    <row r="5" spans="1:5" x14ac:dyDescent="0.35">
      <c r="A5" t="s">
        <v>111</v>
      </c>
      <c r="B5" t="str">
        <f>VLOOKUP($A5,Machine_Qty[],2,0)</f>
        <v>Machine D</v>
      </c>
      <c r="C5">
        <f>VLOOKUP($A5,Machine_Qty[],3,0)</f>
        <v>700</v>
      </c>
      <c r="D5">
        <f>VLOOKUP($A5,Machine_Rate[],2,0)</f>
        <v>415000</v>
      </c>
      <c r="E5">
        <f t="shared" si="0"/>
        <v>290500000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F7CAA-C959-4CBD-93A3-E8A92D94C6FC}">
  <sheetPr codeName="Sheet28"/>
  <dimension ref="A1:H21"/>
  <sheetViews>
    <sheetView zoomScale="160" zoomScaleNormal="160" workbookViewId="0">
      <selection activeCell="D2" sqref="D2:E2"/>
    </sheetView>
  </sheetViews>
  <sheetFormatPr defaultRowHeight="14.5" x14ac:dyDescent="0.35"/>
  <cols>
    <col min="1" max="1" width="9.7265625" bestFit="1" customWidth="1"/>
    <col min="2" max="2" width="9.453125" bestFit="1" customWidth="1"/>
    <col min="3" max="3" width="11.54296875" bestFit="1" customWidth="1"/>
    <col min="4" max="6" width="22.54296875" customWidth="1"/>
  </cols>
  <sheetData>
    <row r="1" spans="1:8" x14ac:dyDescent="0.35">
      <c r="A1" t="s">
        <v>170</v>
      </c>
      <c r="B1" t="s">
        <v>171</v>
      </c>
      <c r="C1" t="s">
        <v>36</v>
      </c>
      <c r="D1" t="s">
        <v>225</v>
      </c>
      <c r="E1" t="s">
        <v>246</v>
      </c>
    </row>
    <row r="2" spans="1:8" x14ac:dyDescent="0.35">
      <c r="A2" t="s">
        <v>128</v>
      </c>
      <c r="B2" t="s">
        <v>138</v>
      </c>
      <c r="C2" t="s">
        <v>45</v>
      </c>
      <c r="D2" t="s">
        <v>117</v>
      </c>
      <c r="E2" s="16" t="s">
        <v>226</v>
      </c>
      <c r="H2" t="s">
        <v>224</v>
      </c>
    </row>
    <row r="3" spans="1:8" x14ac:dyDescent="0.35">
      <c r="A3" t="s">
        <v>129</v>
      </c>
      <c r="B3" t="s">
        <v>139</v>
      </c>
      <c r="C3" t="s">
        <v>48</v>
      </c>
      <c r="D3" t="s">
        <v>118</v>
      </c>
      <c r="E3" s="16" t="s">
        <v>227</v>
      </c>
    </row>
    <row r="4" spans="1:8" x14ac:dyDescent="0.35">
      <c r="A4" t="s">
        <v>130</v>
      </c>
      <c r="B4" t="s">
        <v>140</v>
      </c>
      <c r="C4" t="s">
        <v>147</v>
      </c>
      <c r="D4" t="s">
        <v>172</v>
      </c>
      <c r="E4" s="16" t="s">
        <v>238</v>
      </c>
    </row>
    <row r="5" spans="1:8" x14ac:dyDescent="0.35">
      <c r="A5" t="s">
        <v>131</v>
      </c>
      <c r="B5" t="s">
        <v>141</v>
      </c>
      <c r="C5" t="s">
        <v>148</v>
      </c>
      <c r="D5" t="s">
        <v>119</v>
      </c>
      <c r="E5" s="16" t="s">
        <v>228</v>
      </c>
    </row>
    <row r="6" spans="1:8" x14ac:dyDescent="0.35">
      <c r="A6" t="s">
        <v>132</v>
      </c>
      <c r="B6" t="s">
        <v>142</v>
      </c>
      <c r="C6" t="s">
        <v>149</v>
      </c>
      <c r="D6" t="s">
        <v>120</v>
      </c>
      <c r="E6" s="16" t="s">
        <v>229</v>
      </c>
    </row>
    <row r="7" spans="1:8" x14ac:dyDescent="0.35">
      <c r="A7" t="s">
        <v>133</v>
      </c>
      <c r="B7" t="s">
        <v>116</v>
      </c>
      <c r="C7" t="s">
        <v>150</v>
      </c>
      <c r="D7" t="s">
        <v>173</v>
      </c>
      <c r="E7" s="16" t="s">
        <v>239</v>
      </c>
    </row>
    <row r="8" spans="1:8" x14ac:dyDescent="0.35">
      <c r="A8" t="s">
        <v>134</v>
      </c>
      <c r="B8" t="s">
        <v>143</v>
      </c>
      <c r="C8" t="s">
        <v>45</v>
      </c>
      <c r="D8" t="s">
        <v>121</v>
      </c>
      <c r="E8" s="16" t="s">
        <v>230</v>
      </c>
    </row>
    <row r="9" spans="1:8" x14ac:dyDescent="0.35">
      <c r="A9" t="s">
        <v>135</v>
      </c>
      <c r="B9" t="s">
        <v>144</v>
      </c>
      <c r="C9" t="s">
        <v>148</v>
      </c>
      <c r="D9" t="s">
        <v>122</v>
      </c>
      <c r="E9" s="16" t="s">
        <v>231</v>
      </c>
    </row>
    <row r="10" spans="1:8" x14ac:dyDescent="0.35">
      <c r="A10" t="s">
        <v>136</v>
      </c>
      <c r="B10" t="s">
        <v>145</v>
      </c>
      <c r="C10" t="s">
        <v>48</v>
      </c>
      <c r="D10" t="s">
        <v>123</v>
      </c>
      <c r="E10" s="16" t="s">
        <v>232</v>
      </c>
    </row>
    <row r="11" spans="1:8" x14ac:dyDescent="0.35">
      <c r="A11" t="s">
        <v>137</v>
      </c>
      <c r="B11" t="s">
        <v>146</v>
      </c>
      <c r="C11" t="s">
        <v>151</v>
      </c>
      <c r="D11" t="s">
        <v>124</v>
      </c>
      <c r="E11" s="16" t="s">
        <v>233</v>
      </c>
    </row>
    <row r="12" spans="1:8" x14ac:dyDescent="0.35">
      <c r="A12" t="s">
        <v>152</v>
      </c>
      <c r="B12" t="s">
        <v>140</v>
      </c>
      <c r="C12" t="s">
        <v>147</v>
      </c>
      <c r="D12" t="s">
        <v>174</v>
      </c>
      <c r="E12" s="16" t="s">
        <v>240</v>
      </c>
    </row>
    <row r="13" spans="1:8" x14ac:dyDescent="0.35">
      <c r="A13" t="s">
        <v>153</v>
      </c>
      <c r="B13" t="s">
        <v>116</v>
      </c>
      <c r="C13" t="s">
        <v>150</v>
      </c>
      <c r="D13" t="s">
        <v>175</v>
      </c>
      <c r="E13" s="16" t="s">
        <v>241</v>
      </c>
    </row>
    <row r="14" spans="1:8" x14ac:dyDescent="0.35">
      <c r="A14" t="s">
        <v>154</v>
      </c>
      <c r="B14" t="s">
        <v>162</v>
      </c>
      <c r="C14" t="s">
        <v>167</v>
      </c>
      <c r="D14" t="s">
        <v>176</v>
      </c>
      <c r="E14" s="16" t="s">
        <v>234</v>
      </c>
    </row>
    <row r="15" spans="1:8" x14ac:dyDescent="0.35">
      <c r="A15" t="s">
        <v>155</v>
      </c>
      <c r="B15" t="s">
        <v>163</v>
      </c>
      <c r="C15" t="s">
        <v>148</v>
      </c>
      <c r="D15" t="s">
        <v>125</v>
      </c>
      <c r="E15" s="16" t="s">
        <v>235</v>
      </c>
    </row>
    <row r="16" spans="1:8" x14ac:dyDescent="0.35">
      <c r="A16" t="s">
        <v>156</v>
      </c>
      <c r="B16" t="s">
        <v>164</v>
      </c>
      <c r="C16" t="s">
        <v>48</v>
      </c>
      <c r="D16" t="s">
        <v>126</v>
      </c>
      <c r="E16" s="16" t="s">
        <v>236</v>
      </c>
    </row>
    <row r="17" spans="1:5" x14ac:dyDescent="0.35">
      <c r="A17" t="s">
        <v>157</v>
      </c>
      <c r="B17" t="s">
        <v>115</v>
      </c>
      <c r="C17" t="s">
        <v>168</v>
      </c>
      <c r="D17" t="s">
        <v>177</v>
      </c>
      <c r="E17" s="16" t="s">
        <v>242</v>
      </c>
    </row>
    <row r="18" spans="1:5" x14ac:dyDescent="0.35">
      <c r="A18" t="s">
        <v>158</v>
      </c>
      <c r="B18" t="s">
        <v>165</v>
      </c>
      <c r="C18" t="s">
        <v>167</v>
      </c>
      <c r="D18" t="s">
        <v>127</v>
      </c>
      <c r="E18" s="16" t="s">
        <v>237</v>
      </c>
    </row>
    <row r="19" spans="1:5" x14ac:dyDescent="0.35">
      <c r="A19" t="s">
        <v>159</v>
      </c>
      <c r="B19" t="s">
        <v>166</v>
      </c>
      <c r="C19" t="s">
        <v>169</v>
      </c>
      <c r="D19" t="s">
        <v>178</v>
      </c>
      <c r="E19" s="16" t="s">
        <v>243</v>
      </c>
    </row>
    <row r="20" spans="1:5" x14ac:dyDescent="0.35">
      <c r="A20" t="s">
        <v>160</v>
      </c>
      <c r="B20" t="s">
        <v>115</v>
      </c>
      <c r="C20" t="s">
        <v>168</v>
      </c>
      <c r="D20" t="s">
        <v>179</v>
      </c>
      <c r="E20" s="16" t="s">
        <v>244</v>
      </c>
    </row>
    <row r="21" spans="1:5" x14ac:dyDescent="0.35">
      <c r="A21" t="s">
        <v>161</v>
      </c>
      <c r="B21" t="s">
        <v>116</v>
      </c>
      <c r="C21" t="s">
        <v>150</v>
      </c>
      <c r="D21" t="s">
        <v>180</v>
      </c>
      <c r="E21" s="16" t="s">
        <v>245</v>
      </c>
    </row>
  </sheetData>
  <hyperlinks>
    <hyperlink ref="E2" r:id="rId1" xr:uid="{996E625A-A495-4737-9E80-31717AEA75F2}"/>
    <hyperlink ref="E3" r:id="rId2" xr:uid="{E1ED3306-5697-48D5-A6C4-F9CAE0094808}"/>
    <hyperlink ref="E4" r:id="rId3" xr:uid="{1EC1DECA-5F11-4284-889D-ABE36A505A9B}"/>
    <hyperlink ref="E5" r:id="rId4" xr:uid="{A94F0B0D-62E1-4C77-9DAF-BAB8595271E9}"/>
    <hyperlink ref="E6" r:id="rId5" xr:uid="{9C967597-0132-4E3F-AD67-D4CE880636CB}"/>
    <hyperlink ref="E7" r:id="rId6" xr:uid="{6DCF2A77-A030-464F-BBF2-F927B3BEE854}"/>
    <hyperlink ref="E8" r:id="rId7" xr:uid="{186BC912-F4C1-4351-9A1B-495B5D7AB857}"/>
    <hyperlink ref="E9" r:id="rId8" xr:uid="{BB54B36A-3718-4DF3-8AD9-009F9670D537}"/>
    <hyperlink ref="E10" r:id="rId9" xr:uid="{A7D44F57-99CA-4780-96BE-73A3337F04EC}"/>
    <hyperlink ref="E11" r:id="rId10" xr:uid="{09450459-84E6-401D-B778-32E671C61283}"/>
    <hyperlink ref="E12" r:id="rId11" xr:uid="{508780E0-EC50-4DB5-B5C3-C06CFCA1A781}"/>
    <hyperlink ref="E13" r:id="rId12" xr:uid="{214142BE-F599-46BF-A3AE-799287CC7A7A}"/>
    <hyperlink ref="E14" r:id="rId13" xr:uid="{FE6F4E53-114B-49DD-B950-CF8FB00C96D2}"/>
    <hyperlink ref="E15" r:id="rId14" xr:uid="{773DB578-0186-4C8A-9947-A0A944CE767B}"/>
    <hyperlink ref="E16" r:id="rId15" xr:uid="{7305199B-42C7-4B9C-B553-E26E6415C02D}"/>
    <hyperlink ref="E17" r:id="rId16" xr:uid="{C5208D7E-CC62-43B6-BA4A-0AD5855F7AA4}"/>
    <hyperlink ref="E18" r:id="rId17" xr:uid="{868C3BD0-A890-4FA7-9B26-104AF82E39B3}"/>
    <hyperlink ref="E19" r:id="rId18" xr:uid="{831D8CFB-483E-4767-87B7-6FDE5677B394}"/>
    <hyperlink ref="E20" r:id="rId19" xr:uid="{DB8E87EC-D2EA-403B-9C59-8FD0EE231B05}"/>
    <hyperlink ref="E21" r:id="rId20" xr:uid="{D4C6A5CB-9D27-45AA-8791-19A7F6BAD36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13791-452B-4158-9998-18519E8212D9}">
  <dimension ref="A1:H21"/>
  <sheetViews>
    <sheetView zoomScale="160" zoomScaleNormal="160" workbookViewId="0">
      <selection activeCell="B2" sqref="B2"/>
    </sheetView>
  </sheetViews>
  <sheetFormatPr defaultRowHeight="14.5" x14ac:dyDescent="0.35"/>
  <cols>
    <col min="1" max="1" width="9.7265625" bestFit="1" customWidth="1"/>
    <col min="2" max="2" width="9.453125" bestFit="1" customWidth="1"/>
    <col min="3" max="3" width="11.54296875" bestFit="1" customWidth="1"/>
    <col min="4" max="4" width="22.54296875" customWidth="1"/>
    <col min="5" max="5" width="30.81640625" bestFit="1" customWidth="1"/>
    <col min="6" max="6" width="22.54296875" customWidth="1"/>
  </cols>
  <sheetData>
    <row r="1" spans="1:8" x14ac:dyDescent="0.35">
      <c r="A1" t="s">
        <v>170</v>
      </c>
      <c r="B1" t="s">
        <v>171</v>
      </c>
      <c r="C1" t="s">
        <v>36</v>
      </c>
      <c r="D1" t="s">
        <v>225</v>
      </c>
      <c r="E1" t="s">
        <v>246</v>
      </c>
    </row>
    <row r="2" spans="1:8" x14ac:dyDescent="0.35">
      <c r="A2" t="s">
        <v>128</v>
      </c>
      <c r="B2" t="s">
        <v>138</v>
      </c>
      <c r="C2" t="s">
        <v>45</v>
      </c>
      <c r="D2" t="str">
        <f>A2&amp;" "&amp;B2&amp;" ("&amp;C2&amp;")"</f>
        <v>Virat Kohli (India)</v>
      </c>
      <c r="E2" s="16" t="str">
        <f>LOWER(A2&amp;"."&amp;B2&amp;"@"&amp;SUBSTITUTE(C2," ","_")&amp;".com")</f>
        <v>virat.kohli@india.com</v>
      </c>
      <c r="H2" t="s">
        <v>224</v>
      </c>
    </row>
    <row r="3" spans="1:8" x14ac:dyDescent="0.35">
      <c r="A3" t="s">
        <v>129</v>
      </c>
      <c r="B3" t="s">
        <v>139</v>
      </c>
      <c r="C3" t="s">
        <v>48</v>
      </c>
      <c r="D3" t="str">
        <f t="shared" ref="D3:D21" si="0">A3&amp;" "&amp;B3&amp;" ("&amp;C3&amp;")"</f>
        <v>Steve Smith (Australia)</v>
      </c>
      <c r="E3" s="16" t="str">
        <f t="shared" ref="E3:E21" si="1">LOWER(A3&amp;"."&amp;B3&amp;"@"&amp;SUBSTITUTE(C3," ","_")&amp;".com")</f>
        <v>steve.smith@australia.com</v>
      </c>
    </row>
    <row r="4" spans="1:8" x14ac:dyDescent="0.35">
      <c r="A4" t="s">
        <v>130</v>
      </c>
      <c r="B4" t="s">
        <v>140</v>
      </c>
      <c r="C4" t="s">
        <v>147</v>
      </c>
      <c r="D4" t="str">
        <f t="shared" si="0"/>
        <v>Kane New (New Zealand)</v>
      </c>
      <c r="E4" s="16" t="str">
        <f t="shared" si="1"/>
        <v>kane.new@new_zealand.com</v>
      </c>
    </row>
    <row r="5" spans="1:8" x14ac:dyDescent="0.35">
      <c r="A5" t="s">
        <v>131</v>
      </c>
      <c r="B5" t="s">
        <v>141</v>
      </c>
      <c r="C5" t="s">
        <v>148</v>
      </c>
      <c r="D5" t="str">
        <f t="shared" si="0"/>
        <v>Joe Root (England)</v>
      </c>
      <c r="E5" s="16" t="str">
        <f t="shared" si="1"/>
        <v>joe.root@england.com</v>
      </c>
    </row>
    <row r="6" spans="1:8" x14ac:dyDescent="0.35">
      <c r="A6" t="s">
        <v>132</v>
      </c>
      <c r="B6" t="s">
        <v>142</v>
      </c>
      <c r="C6" t="s">
        <v>149</v>
      </c>
      <c r="D6" t="str">
        <f t="shared" si="0"/>
        <v>Babar Azam (Pakistan)</v>
      </c>
      <c r="E6" s="16" t="str">
        <f t="shared" si="1"/>
        <v>babar.azam@pakistan.com</v>
      </c>
    </row>
    <row r="7" spans="1:8" x14ac:dyDescent="0.35">
      <c r="A7" t="s">
        <v>133</v>
      </c>
      <c r="B7" t="s">
        <v>116</v>
      </c>
      <c r="C7" t="s">
        <v>150</v>
      </c>
      <c r="D7" t="str">
        <f t="shared" si="0"/>
        <v>Quinton South (South Africa)</v>
      </c>
      <c r="E7" s="16" t="str">
        <f t="shared" si="1"/>
        <v>quinton.south@south_africa.com</v>
      </c>
    </row>
    <row r="8" spans="1:8" x14ac:dyDescent="0.35">
      <c r="A8" t="s">
        <v>134</v>
      </c>
      <c r="B8" t="s">
        <v>143</v>
      </c>
      <c r="C8" t="s">
        <v>45</v>
      </c>
      <c r="D8" t="str">
        <f t="shared" si="0"/>
        <v>Jasprit Bumrah (India)</v>
      </c>
      <c r="E8" s="16" t="str">
        <f t="shared" si="1"/>
        <v>jasprit.bumrah@india.com</v>
      </c>
    </row>
    <row r="9" spans="1:8" x14ac:dyDescent="0.35">
      <c r="A9" t="s">
        <v>135</v>
      </c>
      <c r="B9" t="s">
        <v>144</v>
      </c>
      <c r="C9" t="s">
        <v>148</v>
      </c>
      <c r="D9" t="str">
        <f t="shared" si="0"/>
        <v>Ben Stokes (England)</v>
      </c>
      <c r="E9" s="16" t="str">
        <f t="shared" si="1"/>
        <v>ben.stokes@england.com</v>
      </c>
    </row>
    <row r="10" spans="1:8" x14ac:dyDescent="0.35">
      <c r="A10" t="s">
        <v>136</v>
      </c>
      <c r="B10" t="s">
        <v>145</v>
      </c>
      <c r="C10" t="s">
        <v>48</v>
      </c>
      <c r="D10" t="str">
        <f t="shared" si="0"/>
        <v>David Warner (Australia)</v>
      </c>
      <c r="E10" s="16" t="str">
        <f t="shared" si="1"/>
        <v>david.warner@australia.com</v>
      </c>
    </row>
    <row r="11" spans="1:8" x14ac:dyDescent="0.35">
      <c r="A11" t="s">
        <v>137</v>
      </c>
      <c r="B11" t="s">
        <v>146</v>
      </c>
      <c r="C11" t="s">
        <v>151</v>
      </c>
      <c r="D11" t="str">
        <f t="shared" si="0"/>
        <v>Rashid Khan (Afghanistan)</v>
      </c>
      <c r="E11" s="16" t="str">
        <f t="shared" si="1"/>
        <v>rashid.khan@afghanistan.com</v>
      </c>
    </row>
    <row r="12" spans="1:8" x14ac:dyDescent="0.35">
      <c r="A12" t="s">
        <v>152</v>
      </c>
      <c r="B12" t="s">
        <v>140</v>
      </c>
      <c r="C12" t="s">
        <v>147</v>
      </c>
      <c r="D12" t="str">
        <f t="shared" si="0"/>
        <v>Ross New (New Zealand)</v>
      </c>
      <c r="E12" s="16" t="str">
        <f t="shared" si="1"/>
        <v>ross.new@new_zealand.com</v>
      </c>
    </row>
    <row r="13" spans="1:8" x14ac:dyDescent="0.35">
      <c r="A13" t="s">
        <v>153</v>
      </c>
      <c r="B13" t="s">
        <v>116</v>
      </c>
      <c r="C13" t="s">
        <v>150</v>
      </c>
      <c r="D13" t="str">
        <f t="shared" si="0"/>
        <v>Faf South (South Africa)</v>
      </c>
      <c r="E13" s="16" t="str">
        <f t="shared" si="1"/>
        <v>faf.south@south_africa.com</v>
      </c>
    </row>
    <row r="14" spans="1:8" x14ac:dyDescent="0.35">
      <c r="A14" t="s">
        <v>154</v>
      </c>
      <c r="B14" t="s">
        <v>162</v>
      </c>
      <c r="C14" t="s">
        <v>167</v>
      </c>
      <c r="D14" t="str">
        <f t="shared" si="0"/>
        <v>Shakib Hasan (Bangladesh)</v>
      </c>
      <c r="E14" s="16" t="str">
        <f t="shared" si="1"/>
        <v>shakib.hasan@bangladesh.com</v>
      </c>
    </row>
    <row r="15" spans="1:8" x14ac:dyDescent="0.35">
      <c r="A15" t="s">
        <v>155</v>
      </c>
      <c r="B15" t="s">
        <v>163</v>
      </c>
      <c r="C15" t="s">
        <v>148</v>
      </c>
      <c r="D15" t="str">
        <f t="shared" si="0"/>
        <v>Eoin Morgan (England)</v>
      </c>
      <c r="E15" s="16" t="str">
        <f t="shared" si="1"/>
        <v>eoin.morgan@england.com</v>
      </c>
    </row>
    <row r="16" spans="1:8" x14ac:dyDescent="0.35">
      <c r="A16" t="s">
        <v>156</v>
      </c>
      <c r="B16" t="s">
        <v>164</v>
      </c>
      <c r="C16" t="s">
        <v>48</v>
      </c>
      <c r="D16" t="str">
        <f t="shared" si="0"/>
        <v>Pat Cummins (Australia)</v>
      </c>
      <c r="E16" s="16" t="str">
        <f t="shared" si="1"/>
        <v>pat.cummins@australia.com</v>
      </c>
    </row>
    <row r="17" spans="1:5" x14ac:dyDescent="0.35">
      <c r="A17" t="s">
        <v>157</v>
      </c>
      <c r="B17" t="s">
        <v>115</v>
      </c>
      <c r="C17" t="s">
        <v>168</v>
      </c>
      <c r="D17" t="str">
        <f t="shared" si="0"/>
        <v>Shai West (West Indies)</v>
      </c>
      <c r="E17" s="16" t="str">
        <f t="shared" si="1"/>
        <v>shai.west@west_indies.com</v>
      </c>
    </row>
    <row r="18" spans="1:5" x14ac:dyDescent="0.35">
      <c r="A18" t="s">
        <v>158</v>
      </c>
      <c r="B18" t="s">
        <v>165</v>
      </c>
      <c r="C18" t="s">
        <v>167</v>
      </c>
      <c r="D18" t="str">
        <f t="shared" si="0"/>
        <v>Mushfiqur Rahim (Bangladesh)</v>
      </c>
      <c r="E18" s="16" t="str">
        <f t="shared" si="1"/>
        <v>mushfiqur.rahim@bangladesh.com</v>
      </c>
    </row>
    <row r="19" spans="1:5" x14ac:dyDescent="0.35">
      <c r="A19" t="s">
        <v>159</v>
      </c>
      <c r="B19" t="s">
        <v>166</v>
      </c>
      <c r="C19" t="s">
        <v>169</v>
      </c>
      <c r="D19" t="str">
        <f t="shared" si="0"/>
        <v>Lasith Sri (Sri Lanka)</v>
      </c>
      <c r="E19" s="16" t="str">
        <f t="shared" si="1"/>
        <v>lasith.sri@sri_lanka.com</v>
      </c>
    </row>
    <row r="20" spans="1:5" x14ac:dyDescent="0.35">
      <c r="A20" t="s">
        <v>160</v>
      </c>
      <c r="B20" t="s">
        <v>115</v>
      </c>
      <c r="C20" t="s">
        <v>168</v>
      </c>
      <c r="D20" t="str">
        <f t="shared" si="0"/>
        <v>Jason West (West Indies)</v>
      </c>
      <c r="E20" s="16" t="str">
        <f t="shared" si="1"/>
        <v>jason.west@west_indies.com</v>
      </c>
    </row>
    <row r="21" spans="1:5" x14ac:dyDescent="0.35">
      <c r="A21" t="s">
        <v>161</v>
      </c>
      <c r="B21" t="s">
        <v>116</v>
      </c>
      <c r="C21" t="s">
        <v>150</v>
      </c>
      <c r="D21" t="str">
        <f t="shared" si="0"/>
        <v>Kagiso South (South Africa)</v>
      </c>
      <c r="E21" s="16" t="str">
        <f t="shared" si="1"/>
        <v>kagiso.south@south_africa.com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33A2D-6A45-407C-829E-DCB65F1DBBB1}">
  <sheetPr codeName="Sheet29"/>
  <dimension ref="A1:D21"/>
  <sheetViews>
    <sheetView zoomScale="190" zoomScaleNormal="190" workbookViewId="0">
      <selection activeCell="B2" sqref="B2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453125" bestFit="1" customWidth="1"/>
    <col min="4" max="4" width="11.54296875" bestFit="1" customWidth="1"/>
  </cols>
  <sheetData>
    <row r="1" spans="1:4" x14ac:dyDescent="0.35">
      <c r="B1" t="s">
        <v>170</v>
      </c>
      <c r="C1" t="s">
        <v>171</v>
      </c>
      <c r="D1" t="s">
        <v>36</v>
      </c>
    </row>
    <row r="2" spans="1:4" x14ac:dyDescent="0.35">
      <c r="A2" t="s">
        <v>117</v>
      </c>
      <c r="B2" t="s">
        <v>128</v>
      </c>
      <c r="C2" t="s">
        <v>138</v>
      </c>
      <c r="D2" t="s">
        <v>45</v>
      </c>
    </row>
    <row r="3" spans="1:4" x14ac:dyDescent="0.35">
      <c r="A3" t="s">
        <v>118</v>
      </c>
      <c r="B3" t="s">
        <v>129</v>
      </c>
      <c r="C3" t="s">
        <v>139</v>
      </c>
      <c r="D3" t="s">
        <v>48</v>
      </c>
    </row>
    <row r="4" spans="1:4" x14ac:dyDescent="0.35">
      <c r="A4" t="s">
        <v>172</v>
      </c>
      <c r="B4" t="s">
        <v>130</v>
      </c>
      <c r="C4" t="s">
        <v>140</v>
      </c>
      <c r="D4" t="s">
        <v>147</v>
      </c>
    </row>
    <row r="5" spans="1:4" x14ac:dyDescent="0.35">
      <c r="A5" t="s">
        <v>119</v>
      </c>
      <c r="B5" t="s">
        <v>131</v>
      </c>
      <c r="C5" t="s">
        <v>141</v>
      </c>
      <c r="D5" t="s">
        <v>148</v>
      </c>
    </row>
    <row r="6" spans="1:4" x14ac:dyDescent="0.35">
      <c r="A6" t="s">
        <v>120</v>
      </c>
      <c r="B6" t="s">
        <v>132</v>
      </c>
      <c r="C6" t="s">
        <v>142</v>
      </c>
      <c r="D6" t="s">
        <v>149</v>
      </c>
    </row>
    <row r="7" spans="1:4" x14ac:dyDescent="0.35">
      <c r="A7" t="s">
        <v>173</v>
      </c>
      <c r="B7" t="s">
        <v>133</v>
      </c>
      <c r="C7" t="s">
        <v>116</v>
      </c>
      <c r="D7" t="s">
        <v>150</v>
      </c>
    </row>
    <row r="8" spans="1:4" x14ac:dyDescent="0.35">
      <c r="A8" t="s">
        <v>121</v>
      </c>
      <c r="B8" t="s">
        <v>134</v>
      </c>
      <c r="C8" t="s">
        <v>143</v>
      </c>
      <c r="D8" t="s">
        <v>45</v>
      </c>
    </row>
    <row r="9" spans="1:4" x14ac:dyDescent="0.35">
      <c r="A9" t="s">
        <v>122</v>
      </c>
      <c r="B9" t="s">
        <v>135</v>
      </c>
      <c r="C9" t="s">
        <v>144</v>
      </c>
      <c r="D9" t="s">
        <v>148</v>
      </c>
    </row>
    <row r="10" spans="1:4" x14ac:dyDescent="0.35">
      <c r="A10" t="s">
        <v>123</v>
      </c>
      <c r="B10" t="s">
        <v>136</v>
      </c>
      <c r="C10" t="s">
        <v>145</v>
      </c>
      <c r="D10" t="s">
        <v>48</v>
      </c>
    </row>
    <row r="11" spans="1:4" x14ac:dyDescent="0.35">
      <c r="A11" t="s">
        <v>124</v>
      </c>
      <c r="B11" t="s">
        <v>137</v>
      </c>
      <c r="C11" t="s">
        <v>146</v>
      </c>
      <c r="D11" t="s">
        <v>151</v>
      </c>
    </row>
    <row r="12" spans="1:4" x14ac:dyDescent="0.35">
      <c r="A12" t="s">
        <v>174</v>
      </c>
      <c r="B12" t="s">
        <v>152</v>
      </c>
      <c r="C12" t="s">
        <v>140</v>
      </c>
      <c r="D12" t="s">
        <v>147</v>
      </c>
    </row>
    <row r="13" spans="1:4" x14ac:dyDescent="0.35">
      <c r="A13" t="s">
        <v>175</v>
      </c>
      <c r="B13" t="s">
        <v>153</v>
      </c>
      <c r="C13" t="s">
        <v>116</v>
      </c>
      <c r="D13" t="s">
        <v>150</v>
      </c>
    </row>
    <row r="14" spans="1:4" x14ac:dyDescent="0.35">
      <c r="A14" t="s">
        <v>176</v>
      </c>
      <c r="B14" t="s">
        <v>154</v>
      </c>
      <c r="C14" t="s">
        <v>162</v>
      </c>
      <c r="D14" t="s">
        <v>167</v>
      </c>
    </row>
    <row r="15" spans="1:4" x14ac:dyDescent="0.35">
      <c r="A15" t="s">
        <v>125</v>
      </c>
      <c r="B15" t="s">
        <v>155</v>
      </c>
      <c r="C15" t="s">
        <v>163</v>
      </c>
      <c r="D15" t="s">
        <v>148</v>
      </c>
    </row>
    <row r="16" spans="1:4" x14ac:dyDescent="0.35">
      <c r="A16" t="s">
        <v>126</v>
      </c>
      <c r="B16" t="s">
        <v>156</v>
      </c>
      <c r="C16" t="s">
        <v>164</v>
      </c>
      <c r="D16" t="s">
        <v>48</v>
      </c>
    </row>
    <row r="17" spans="1:4" x14ac:dyDescent="0.35">
      <c r="A17" t="s">
        <v>177</v>
      </c>
      <c r="B17" t="s">
        <v>157</v>
      </c>
      <c r="C17" t="s">
        <v>115</v>
      </c>
      <c r="D17" t="s">
        <v>168</v>
      </c>
    </row>
    <row r="18" spans="1:4" x14ac:dyDescent="0.35">
      <c r="A18" t="s">
        <v>127</v>
      </c>
      <c r="B18" t="s">
        <v>158</v>
      </c>
      <c r="C18" t="s">
        <v>165</v>
      </c>
      <c r="D18" t="s">
        <v>167</v>
      </c>
    </row>
    <row r="19" spans="1:4" x14ac:dyDescent="0.35">
      <c r="A19" t="s">
        <v>178</v>
      </c>
      <c r="B19" t="s">
        <v>159</v>
      </c>
      <c r="C19" t="s">
        <v>166</v>
      </c>
      <c r="D19" t="s">
        <v>169</v>
      </c>
    </row>
    <row r="20" spans="1:4" x14ac:dyDescent="0.35">
      <c r="A20" t="s">
        <v>179</v>
      </c>
      <c r="B20" t="s">
        <v>160</v>
      </c>
      <c r="C20" t="s">
        <v>115</v>
      </c>
      <c r="D20" t="s">
        <v>168</v>
      </c>
    </row>
    <row r="21" spans="1:4" x14ac:dyDescent="0.35">
      <c r="A21" t="s">
        <v>180</v>
      </c>
      <c r="B21" t="s">
        <v>161</v>
      </c>
      <c r="C21" t="s">
        <v>116</v>
      </c>
      <c r="D21" t="s">
        <v>150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6D14D-AC74-4B66-94DB-CC5C5A531961}">
  <dimension ref="A1:F21"/>
  <sheetViews>
    <sheetView zoomScale="190" zoomScaleNormal="190" workbookViewId="0">
      <selection activeCell="D2" sqref="D2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453125" bestFit="1" customWidth="1"/>
    <col min="4" max="4" width="13.1796875" bestFit="1" customWidth="1"/>
  </cols>
  <sheetData>
    <row r="1" spans="1:6" x14ac:dyDescent="0.35">
      <c r="B1" t="s">
        <v>170</v>
      </c>
      <c r="C1" t="s">
        <v>171</v>
      </c>
      <c r="D1" t="s">
        <v>36</v>
      </c>
    </row>
    <row r="2" spans="1:6" x14ac:dyDescent="0.35">
      <c r="A2" t="s">
        <v>117</v>
      </c>
      <c r="B2" t="str">
        <f>UPPER(LEFT(A2,FIND(" ",A2)-1))</f>
        <v>VIRAT</v>
      </c>
      <c r="C2" t="str">
        <f>UPPER(MID(A2,FIND(" ",A2)+1,FIND("(",A2)-FIND(" ",A2)-2))</f>
        <v>KOHLI</v>
      </c>
      <c r="D2" t="str">
        <f>UPPER(MID(A2,FIND("(",A2)+1,FIND(")",A2)-FIND("(",A2)-1))</f>
        <v>INDIA</v>
      </c>
    </row>
    <row r="3" spans="1:6" x14ac:dyDescent="0.35">
      <c r="A3" t="s">
        <v>118</v>
      </c>
      <c r="B3" t="str">
        <f t="shared" ref="B3:B21" si="0">UPPER(LEFT(A3,FIND(" ",A3)-1))</f>
        <v>STEVE</v>
      </c>
      <c r="C3" t="str">
        <f t="shared" ref="C3:C21" si="1">UPPER(MID(A3,FIND(" ",A3)+1,FIND("(",A3)-FIND(" ",A3)-2))</f>
        <v>SMITH</v>
      </c>
      <c r="D3" t="str">
        <f t="shared" ref="D3:D21" si="2">UPPER(MID(A3,FIND("(",A3)+1,FIND(")",A3)-FIND("(",A3)-1))</f>
        <v>AUSTRALIA</v>
      </c>
    </row>
    <row r="4" spans="1:6" x14ac:dyDescent="0.35">
      <c r="A4" t="s">
        <v>172</v>
      </c>
      <c r="B4" t="str">
        <f t="shared" si="0"/>
        <v>KANE</v>
      </c>
      <c r="C4" t="str">
        <f t="shared" si="1"/>
        <v>NEW</v>
      </c>
      <c r="D4" t="str">
        <f t="shared" si="2"/>
        <v>NEW ZEALAND</v>
      </c>
    </row>
    <row r="5" spans="1:6" x14ac:dyDescent="0.35">
      <c r="A5" t="s">
        <v>119</v>
      </c>
      <c r="B5" t="str">
        <f t="shared" si="0"/>
        <v>JOE</v>
      </c>
      <c r="C5" t="str">
        <f t="shared" si="1"/>
        <v>ROOT</v>
      </c>
      <c r="D5" t="str">
        <f t="shared" si="2"/>
        <v>ENGLAND</v>
      </c>
    </row>
    <row r="6" spans="1:6" x14ac:dyDescent="0.35">
      <c r="A6" t="s">
        <v>120</v>
      </c>
      <c r="B6" t="str">
        <f t="shared" si="0"/>
        <v>BABAR</v>
      </c>
      <c r="C6" t="str">
        <f t="shared" si="1"/>
        <v>AZAM</v>
      </c>
      <c r="D6" t="str">
        <f t="shared" si="2"/>
        <v>PAKISTAN</v>
      </c>
    </row>
    <row r="7" spans="1:6" x14ac:dyDescent="0.35">
      <c r="A7" t="s">
        <v>173</v>
      </c>
      <c r="B7" t="str">
        <f t="shared" si="0"/>
        <v>QUINTON</v>
      </c>
      <c r="C7" t="str">
        <f t="shared" si="1"/>
        <v>SOUTH</v>
      </c>
      <c r="D7" t="str">
        <f t="shared" si="2"/>
        <v>SOUTH AFRICA</v>
      </c>
      <c r="F7" t="s">
        <v>247</v>
      </c>
    </row>
    <row r="8" spans="1:6" x14ac:dyDescent="0.35">
      <c r="A8" t="s">
        <v>121</v>
      </c>
      <c r="B8" t="str">
        <f t="shared" si="0"/>
        <v>JASPRIT</v>
      </c>
      <c r="C8" t="str">
        <f t="shared" si="1"/>
        <v>BUMRAH</v>
      </c>
      <c r="D8" t="str">
        <f t="shared" si="2"/>
        <v>INDIA</v>
      </c>
    </row>
    <row r="9" spans="1:6" x14ac:dyDescent="0.35">
      <c r="A9" t="s">
        <v>122</v>
      </c>
      <c r="B9" t="str">
        <f t="shared" si="0"/>
        <v>BEN</v>
      </c>
      <c r="C9" t="str">
        <f t="shared" si="1"/>
        <v>STOKES</v>
      </c>
      <c r="D9" t="str">
        <f t="shared" si="2"/>
        <v>ENGLAND</v>
      </c>
    </row>
    <row r="10" spans="1:6" x14ac:dyDescent="0.35">
      <c r="A10" t="s">
        <v>123</v>
      </c>
      <c r="B10" t="str">
        <f t="shared" si="0"/>
        <v>DAVID</v>
      </c>
      <c r="C10" t="str">
        <f t="shared" si="1"/>
        <v>WARNER</v>
      </c>
      <c r="D10" t="str">
        <f t="shared" si="2"/>
        <v>AUSTRALIA</v>
      </c>
    </row>
    <row r="11" spans="1:6" x14ac:dyDescent="0.35">
      <c r="A11" t="s">
        <v>124</v>
      </c>
      <c r="B11" t="str">
        <f t="shared" si="0"/>
        <v>RASHID</v>
      </c>
      <c r="C11" t="str">
        <f t="shared" si="1"/>
        <v>KHAN</v>
      </c>
      <c r="D11" t="str">
        <f t="shared" si="2"/>
        <v>AFGHANISTAN</v>
      </c>
    </row>
    <row r="12" spans="1:6" x14ac:dyDescent="0.35">
      <c r="A12" t="s">
        <v>174</v>
      </c>
      <c r="B12" t="str">
        <f t="shared" si="0"/>
        <v>ROSS</v>
      </c>
      <c r="C12" t="str">
        <f t="shared" si="1"/>
        <v>NEW</v>
      </c>
      <c r="D12" t="str">
        <f t="shared" si="2"/>
        <v>NEW ZEALAND</v>
      </c>
    </row>
    <row r="13" spans="1:6" x14ac:dyDescent="0.35">
      <c r="A13" t="s">
        <v>175</v>
      </c>
      <c r="B13" t="str">
        <f t="shared" si="0"/>
        <v>FAF</v>
      </c>
      <c r="C13" t="str">
        <f t="shared" si="1"/>
        <v>SOUTH</v>
      </c>
      <c r="D13" t="str">
        <f t="shared" si="2"/>
        <v>SOUTH AFRICA</v>
      </c>
    </row>
    <row r="14" spans="1:6" x14ac:dyDescent="0.35">
      <c r="A14" t="s">
        <v>176</v>
      </c>
      <c r="B14" t="str">
        <f t="shared" si="0"/>
        <v>SHAKIB</v>
      </c>
      <c r="C14" t="str">
        <f t="shared" si="1"/>
        <v>HASAN</v>
      </c>
      <c r="D14" t="str">
        <f t="shared" si="2"/>
        <v>BANGLADESH</v>
      </c>
    </row>
    <row r="15" spans="1:6" x14ac:dyDescent="0.35">
      <c r="A15" t="s">
        <v>125</v>
      </c>
      <c r="B15" t="str">
        <f t="shared" si="0"/>
        <v>EOIN</v>
      </c>
      <c r="C15" t="str">
        <f t="shared" si="1"/>
        <v>MORGAN</v>
      </c>
      <c r="D15" t="str">
        <f t="shared" si="2"/>
        <v>ENGLAND</v>
      </c>
    </row>
    <row r="16" spans="1:6" x14ac:dyDescent="0.35">
      <c r="A16" t="s">
        <v>126</v>
      </c>
      <c r="B16" t="str">
        <f t="shared" si="0"/>
        <v>PAT</v>
      </c>
      <c r="C16" t="str">
        <f t="shared" si="1"/>
        <v>CUMMINS</v>
      </c>
      <c r="D16" t="str">
        <f t="shared" si="2"/>
        <v>AUSTRALIA</v>
      </c>
    </row>
    <row r="17" spans="1:4" x14ac:dyDescent="0.35">
      <c r="A17" t="s">
        <v>177</v>
      </c>
      <c r="B17" t="str">
        <f t="shared" si="0"/>
        <v>SHAI</v>
      </c>
      <c r="C17" t="str">
        <f t="shared" si="1"/>
        <v>WEST</v>
      </c>
      <c r="D17" t="str">
        <f t="shared" si="2"/>
        <v>WEST INDIES</v>
      </c>
    </row>
    <row r="18" spans="1:4" x14ac:dyDescent="0.35">
      <c r="A18" t="s">
        <v>127</v>
      </c>
      <c r="B18" t="str">
        <f t="shared" si="0"/>
        <v>MUSHFIQUR</v>
      </c>
      <c r="C18" t="str">
        <f t="shared" si="1"/>
        <v>RAHIM</v>
      </c>
      <c r="D18" t="str">
        <f t="shared" si="2"/>
        <v>BANGLADESH</v>
      </c>
    </row>
    <row r="19" spans="1:4" x14ac:dyDescent="0.35">
      <c r="A19" t="s">
        <v>178</v>
      </c>
      <c r="B19" t="str">
        <f t="shared" si="0"/>
        <v>LASITH</v>
      </c>
      <c r="C19" t="str">
        <f t="shared" si="1"/>
        <v>SRI</v>
      </c>
      <c r="D19" t="str">
        <f t="shared" si="2"/>
        <v>SRI LANKA</v>
      </c>
    </row>
    <row r="20" spans="1:4" x14ac:dyDescent="0.35">
      <c r="A20" t="s">
        <v>179</v>
      </c>
      <c r="B20" t="str">
        <f t="shared" si="0"/>
        <v>JASON</v>
      </c>
      <c r="C20" t="str">
        <f t="shared" si="1"/>
        <v>WEST</v>
      </c>
      <c r="D20" t="str">
        <f t="shared" si="2"/>
        <v>WEST INDIES</v>
      </c>
    </row>
    <row r="21" spans="1:4" x14ac:dyDescent="0.35">
      <c r="A21" t="s">
        <v>180</v>
      </c>
      <c r="B21" t="str">
        <f t="shared" si="0"/>
        <v>KAGISO</v>
      </c>
      <c r="C21" t="str">
        <f t="shared" si="1"/>
        <v>SOUTH</v>
      </c>
      <c r="D21" t="str">
        <f t="shared" si="2"/>
        <v>SOUTH AFRICA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57759-EDE0-453F-8B4A-E89C75B69BC9}">
  <sheetPr codeName="Sheet30"/>
  <dimension ref="A1:D21"/>
  <sheetViews>
    <sheetView zoomScale="190" zoomScaleNormal="190" workbookViewId="0">
      <selection activeCell="B2" sqref="B2:C8"/>
    </sheetView>
  </sheetViews>
  <sheetFormatPr defaultRowHeight="14.5" x14ac:dyDescent="0.35"/>
  <cols>
    <col min="1" max="1" width="26.90625" bestFit="1" customWidth="1"/>
    <col min="2" max="2" width="9.7265625" bestFit="1" customWidth="1"/>
    <col min="3" max="3" width="9.36328125" customWidth="1"/>
    <col min="4" max="4" width="7.453125" bestFit="1" customWidth="1"/>
  </cols>
  <sheetData>
    <row r="1" spans="1:4" x14ac:dyDescent="0.35">
      <c r="B1" t="s">
        <v>170</v>
      </c>
      <c r="C1" t="s">
        <v>171</v>
      </c>
      <c r="D1" t="s">
        <v>36</v>
      </c>
    </row>
    <row r="2" spans="1:4" x14ac:dyDescent="0.35">
      <c r="A2" t="s">
        <v>117</v>
      </c>
    </row>
    <row r="3" spans="1:4" x14ac:dyDescent="0.35">
      <c r="A3" t="s">
        <v>118</v>
      </c>
    </row>
    <row r="4" spans="1:4" x14ac:dyDescent="0.35">
      <c r="A4" t="s">
        <v>172</v>
      </c>
    </row>
    <row r="5" spans="1:4" x14ac:dyDescent="0.35">
      <c r="A5" t="s">
        <v>119</v>
      </c>
    </row>
    <row r="6" spans="1:4" x14ac:dyDescent="0.35">
      <c r="A6" t="s">
        <v>120</v>
      </c>
    </row>
    <row r="7" spans="1:4" x14ac:dyDescent="0.35">
      <c r="A7" t="s">
        <v>173</v>
      </c>
    </row>
    <row r="8" spans="1:4" x14ac:dyDescent="0.35">
      <c r="A8" t="s">
        <v>121</v>
      </c>
    </row>
    <row r="9" spans="1:4" x14ac:dyDescent="0.35">
      <c r="A9" t="s">
        <v>122</v>
      </c>
    </row>
    <row r="10" spans="1:4" x14ac:dyDescent="0.35">
      <c r="A10" t="s">
        <v>123</v>
      </c>
    </row>
    <row r="11" spans="1:4" x14ac:dyDescent="0.35">
      <c r="A11" t="s">
        <v>124</v>
      </c>
    </row>
    <row r="12" spans="1:4" x14ac:dyDescent="0.35">
      <c r="A12" t="s">
        <v>174</v>
      </c>
    </row>
    <row r="13" spans="1:4" x14ac:dyDescent="0.35">
      <c r="A13" t="s">
        <v>175</v>
      </c>
    </row>
    <row r="14" spans="1:4" x14ac:dyDescent="0.35">
      <c r="A14" t="s">
        <v>176</v>
      </c>
    </row>
    <row r="15" spans="1:4" x14ac:dyDescent="0.35">
      <c r="A15" t="s">
        <v>125</v>
      </c>
    </row>
    <row r="16" spans="1:4" x14ac:dyDescent="0.35">
      <c r="A16" t="s">
        <v>126</v>
      </c>
    </row>
    <row r="17" spans="1:1" x14ac:dyDescent="0.35">
      <c r="A17" t="s">
        <v>177</v>
      </c>
    </row>
    <row r="18" spans="1:1" x14ac:dyDescent="0.35">
      <c r="A18" t="s">
        <v>127</v>
      </c>
    </row>
    <row r="19" spans="1:1" x14ac:dyDescent="0.35">
      <c r="A19" t="s">
        <v>178</v>
      </c>
    </row>
    <row r="20" spans="1:1" x14ac:dyDescent="0.35">
      <c r="A20" t="s">
        <v>179</v>
      </c>
    </row>
    <row r="21" spans="1:1" x14ac:dyDescent="0.35">
      <c r="A21" t="s">
        <v>180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47C6-56A2-4143-A724-93C599B10B1E}">
  <sheetPr codeName="Sheet34"/>
  <dimension ref="A1:E21"/>
  <sheetViews>
    <sheetView tabSelected="1" zoomScale="175" zoomScaleNormal="175" workbookViewId="0">
      <selection activeCell="D6" sqref="D6"/>
    </sheetView>
  </sheetViews>
  <sheetFormatPr defaultRowHeight="14.5" x14ac:dyDescent="0.35"/>
  <cols>
    <col min="1" max="1" width="26.90625" bestFit="1" customWidth="1"/>
    <col min="4" max="4" width="18.54296875" bestFit="1" customWidth="1"/>
    <col min="5" max="5" width="21.54296875" bestFit="1" customWidth="1"/>
  </cols>
  <sheetData>
    <row r="1" spans="1:5" x14ac:dyDescent="0.35">
      <c r="A1" t="s">
        <v>181</v>
      </c>
      <c r="D1" t="s">
        <v>182</v>
      </c>
      <c r="E1" s="1" t="s">
        <v>174</v>
      </c>
    </row>
    <row r="2" spans="1:5" x14ac:dyDescent="0.35">
      <c r="A2" t="s">
        <v>117</v>
      </c>
    </row>
    <row r="3" spans="1:5" x14ac:dyDescent="0.35">
      <c r="A3" t="s">
        <v>118</v>
      </c>
    </row>
    <row r="4" spans="1:5" x14ac:dyDescent="0.35">
      <c r="A4" t="s">
        <v>172</v>
      </c>
      <c r="D4" t="s">
        <v>248</v>
      </c>
    </row>
    <row r="5" spans="1:5" x14ac:dyDescent="0.35">
      <c r="A5" t="s">
        <v>119</v>
      </c>
    </row>
    <row r="6" spans="1:5" x14ac:dyDescent="0.35">
      <c r="A6" t="s">
        <v>120</v>
      </c>
    </row>
    <row r="7" spans="1:5" x14ac:dyDescent="0.35">
      <c r="A7" t="s">
        <v>173</v>
      </c>
    </row>
    <row r="8" spans="1:5" x14ac:dyDescent="0.35">
      <c r="A8" t="s">
        <v>121</v>
      </c>
    </row>
    <row r="9" spans="1:5" x14ac:dyDescent="0.35">
      <c r="A9" t="s">
        <v>122</v>
      </c>
    </row>
    <row r="10" spans="1:5" x14ac:dyDescent="0.35">
      <c r="A10" t="s">
        <v>123</v>
      </c>
    </row>
    <row r="11" spans="1:5" x14ac:dyDescent="0.35">
      <c r="A11" t="s">
        <v>124</v>
      </c>
    </row>
    <row r="12" spans="1:5" x14ac:dyDescent="0.35">
      <c r="A12" t="s">
        <v>174</v>
      </c>
    </row>
    <row r="13" spans="1:5" x14ac:dyDescent="0.35">
      <c r="A13" t="s">
        <v>175</v>
      </c>
    </row>
    <row r="14" spans="1:5" x14ac:dyDescent="0.35">
      <c r="A14" t="s">
        <v>176</v>
      </c>
    </row>
    <row r="15" spans="1:5" x14ac:dyDescent="0.35">
      <c r="A15" t="s">
        <v>125</v>
      </c>
    </row>
    <row r="16" spans="1:5" x14ac:dyDescent="0.35">
      <c r="A16" t="s">
        <v>126</v>
      </c>
    </row>
    <row r="17" spans="1:1" x14ac:dyDescent="0.35">
      <c r="A17" t="s">
        <v>177</v>
      </c>
    </row>
    <row r="18" spans="1:1" x14ac:dyDescent="0.35">
      <c r="A18" t="s">
        <v>127</v>
      </c>
    </row>
    <row r="19" spans="1:1" x14ac:dyDescent="0.35">
      <c r="A19" t="s">
        <v>178</v>
      </c>
    </row>
    <row r="20" spans="1:1" x14ac:dyDescent="0.35">
      <c r="A20" t="s">
        <v>179</v>
      </c>
    </row>
    <row r="21" spans="1:1" x14ac:dyDescent="0.35">
      <c r="A21" t="s">
        <v>180</v>
      </c>
    </row>
  </sheetData>
  <dataValidations count="1">
    <dataValidation type="list" allowBlank="1" showInputMessage="1" showErrorMessage="1" sqref="E1" xr:uid="{90E6049C-3DA8-44A0-962E-334D22F52727}">
      <formula1>$A$2:$A$21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001 - Remove Formatting</vt:lpstr>
      <vt:lpstr>002 - Autofit Columns</vt:lpstr>
      <vt:lpstr>003 - Sum and Difference</vt:lpstr>
      <vt:lpstr>004 - Get the Net Income 1</vt:lpstr>
      <vt:lpstr>005 - Remove $</vt:lpstr>
      <vt:lpstr>006 - Get Net Income 2</vt:lpstr>
      <vt:lpstr>007 - Calculate change %</vt:lpstr>
      <vt:lpstr>008 - Avg Change %</vt:lpstr>
      <vt:lpstr>009 - Sort by Country</vt:lpstr>
      <vt:lpstr>010 - Finding Stable or Growth</vt:lpstr>
      <vt:lpstr>011 - Show by Remaks, Country</vt:lpstr>
      <vt:lpstr>012 - Conditionaly Color Remark</vt:lpstr>
      <vt:lpstr>012 - Conditionaly Color Re (2)</vt:lpstr>
      <vt:lpstr>013 - Show Up Down Arrows</vt:lpstr>
      <vt:lpstr>014 - Summarize Growth &amp; Stable</vt:lpstr>
      <vt:lpstr>015 - Concatenate Headings</vt:lpstr>
      <vt:lpstr>016 - Get Change % (Table)</vt:lpstr>
      <vt:lpstr>017 - Get Change % (Table) (2)</vt:lpstr>
      <vt:lpstr>018 - &lt;=  0 Red else Green</vt:lpstr>
      <vt:lpstr>019 - Color in First table</vt:lpstr>
      <vt:lpstr>020 - Lookup Price</vt:lpstr>
      <vt:lpstr>021 - Lookup Dept Name</vt:lpstr>
      <vt:lpstr>022 - 2 to 1 Table Lookup</vt:lpstr>
      <vt:lpstr>023 - Create Table</vt:lpstr>
      <vt:lpstr>024 - Lookup from other Sheet</vt:lpstr>
      <vt:lpstr>025 - Combine Names</vt:lpstr>
      <vt:lpstr>025 - Combine Names (2)</vt:lpstr>
      <vt:lpstr>026 - Split Names</vt:lpstr>
      <vt:lpstr>026 - Split Names (2)</vt:lpstr>
      <vt:lpstr>027 -Show Country in Caps</vt:lpstr>
      <vt:lpstr>028 - Cricketers in dropdown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Raza</dc:creator>
  <cp:lastModifiedBy>Mohammed Raza</cp:lastModifiedBy>
  <dcterms:created xsi:type="dcterms:W3CDTF">2015-06-05T18:17:20Z</dcterms:created>
  <dcterms:modified xsi:type="dcterms:W3CDTF">2025-12-09T11:00:59Z</dcterms:modified>
</cp:coreProperties>
</file>