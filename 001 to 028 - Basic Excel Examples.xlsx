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codeName="ThisWorkbook"/>
  <mc:AlternateContent xmlns:mc="http://schemas.openxmlformats.org/markup-compatibility/2006">
    <mc:Choice Requires="x15">
      <x15ac:absPath xmlns:x15ac="http://schemas.microsoft.com/office/spreadsheetml/2010/11/ac" url="C:\Backup 1\Google Drive Transfer Files\Trainings\Metro\2025120809 - Basic Excel\Basic Excel\Basic Excel\"/>
    </mc:Choice>
  </mc:AlternateContent>
  <xr:revisionPtr revIDLastSave="0" documentId="13_ncr:1_{09767411-AD86-4338-A319-52306AD0548D}" xr6:coauthVersionLast="47" xr6:coauthVersionMax="47" xr10:uidLastSave="{00000000-0000-0000-0000-000000000000}"/>
  <bookViews>
    <workbookView xWindow="-110" yWindow="-110" windowWidth="19420" windowHeight="10300" firstSheet="12" activeTab="13" xr2:uid="{00000000-000D-0000-FFFF-FFFF00000000}"/>
  </bookViews>
  <sheets>
    <sheet name="001 - Remove Formatting" sheetId="1" r:id="rId1"/>
    <sheet name="002 - Autofit Columns" sheetId="3" r:id="rId2"/>
    <sheet name="003 - Sum and Difference" sheetId="5" r:id="rId3"/>
    <sheet name="004 - Get the Net Income 1" sheetId="7" r:id="rId4"/>
    <sheet name="005 - Remove $" sheetId="10" r:id="rId5"/>
    <sheet name="006 - Get Net Income 2" sheetId="11" r:id="rId6"/>
    <sheet name="007 - Calculate change %" sheetId="12" r:id="rId7"/>
    <sheet name="008 - Avg Change %" sheetId="14" r:id="rId8"/>
    <sheet name="009 - Sort by Country" sheetId="15" r:id="rId9"/>
    <sheet name="010 - Finding Stable or Growth" sheetId="16" r:id="rId10"/>
    <sheet name="011 - Show by Remaks, Country" sheetId="17" r:id="rId11"/>
    <sheet name="012 - Conditionaly Color Remark" sheetId="18" r:id="rId12"/>
    <sheet name="012 - Conditionaly Color Re (2)" sheetId="44" r:id="rId13"/>
    <sheet name="013 - Show Up Down Arrows" sheetId="19" r:id="rId14"/>
    <sheet name="014 - Summarize Growth &amp; Stable" sheetId="20" r:id="rId15"/>
    <sheet name="015 - Concatenate Headings" sheetId="22" r:id="rId16"/>
    <sheet name="016 - Get Change % (Table)" sheetId="23" r:id="rId17"/>
    <sheet name="017 - Get Change % (Table) (2)" sheetId="24" r:id="rId18"/>
    <sheet name="018 - &lt;=  0 Red else Green" sheetId="26" r:id="rId19"/>
    <sheet name="019 - Color in First table" sheetId="27" r:id="rId20"/>
    <sheet name="020 - Lookup Price" sheetId="25" r:id="rId21"/>
    <sheet name="021 - Lookup Dept Name" sheetId="28" r:id="rId22"/>
    <sheet name="022 - 2 to 1 Table Lookup" sheetId="29" r:id="rId23"/>
    <sheet name="023 - Create Table" sheetId="31" r:id="rId24"/>
    <sheet name="024 - Lookup from other Sheet" sheetId="32" r:id="rId25"/>
    <sheet name="025 - Combine Names" sheetId="36" r:id="rId26"/>
    <sheet name="026 - Split Names" sheetId="37" r:id="rId27"/>
    <sheet name="027 -Show Country in Caps" sheetId="38" r:id="rId28"/>
    <sheet name="028 - Cricketers in dropdown" sheetId="42" r:id="rId29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3" i="19" l="1"/>
  <c r="D4" i="19"/>
  <c r="D5" i="19"/>
  <c r="D6" i="19"/>
  <c r="D2" i="19"/>
  <c r="D3" i="16"/>
  <c r="D4" i="16"/>
  <c r="D5" i="16"/>
  <c r="D6" i="16"/>
  <c r="D7" i="16"/>
  <c r="D8" i="16"/>
  <c r="D9" i="16"/>
  <c r="D10" i="16"/>
  <c r="D11" i="16"/>
  <c r="D12" i="16"/>
  <c r="D13" i="16"/>
  <c r="D14" i="16"/>
  <c r="D15" i="16"/>
  <c r="D16" i="16"/>
  <c r="D17" i="16"/>
  <c r="D18" i="16"/>
  <c r="D19" i="16"/>
  <c r="D20" i="16"/>
  <c r="D21" i="16"/>
  <c r="D2" i="16"/>
  <c r="F2" i="14"/>
  <c r="D3" i="12"/>
  <c r="D4" i="12"/>
  <c r="D5" i="12"/>
  <c r="D6" i="12"/>
  <c r="D7" i="12"/>
  <c r="D8" i="12"/>
  <c r="D9" i="12"/>
  <c r="D10" i="12"/>
  <c r="D11" i="12"/>
  <c r="D12" i="12"/>
  <c r="D13" i="12"/>
  <c r="D14" i="12"/>
  <c r="D15" i="12"/>
  <c r="D16" i="12"/>
  <c r="D17" i="12"/>
  <c r="D18" i="12"/>
  <c r="D19" i="12"/>
  <c r="D20" i="12"/>
  <c r="D21" i="12"/>
  <c r="D2" i="12"/>
  <c r="C26" i="11"/>
  <c r="B27" i="7"/>
  <c r="B6" i="7"/>
  <c r="B9" i="7"/>
  <c r="B20" i="7"/>
  <c r="B25" i="7"/>
  <c r="B28" i="5"/>
  <c r="B10" i="5"/>
  <c r="B6" i="5"/>
  <c r="B9" i="5"/>
  <c r="B21" i="5"/>
  <c r="B26" i="5"/>
</calcChain>
</file>

<file path=xl/sharedStrings.xml><?xml version="1.0" encoding="utf-8"?>
<sst xmlns="http://schemas.openxmlformats.org/spreadsheetml/2006/main" count="761" uniqueCount="211">
  <si>
    <t>Category</t>
  </si>
  <si>
    <t>Item Name</t>
  </si>
  <si>
    <t>Revenue</t>
  </si>
  <si>
    <t>Sales</t>
  </si>
  <si>
    <t>Services Revenue</t>
  </si>
  <si>
    <t>Other Revenue</t>
  </si>
  <si>
    <t>Cost of Goods Sold</t>
  </si>
  <si>
    <t>Gross Profit</t>
  </si>
  <si>
    <t>Operating Expenses</t>
  </si>
  <si>
    <t>Salaries and Wages</t>
  </si>
  <si>
    <t>Rent and Lease</t>
  </si>
  <si>
    <t>Utilities</t>
  </si>
  <si>
    <t>Marketing and Advertising</t>
  </si>
  <si>
    <t>Depreciation</t>
  </si>
  <si>
    <t>Other Operating Expenses</t>
  </si>
  <si>
    <t>Operating Income</t>
  </si>
  <si>
    <t>Non-Operating Income</t>
  </si>
  <si>
    <t>Interest Income</t>
  </si>
  <si>
    <t>Other Non-Operating Income</t>
  </si>
  <si>
    <t>Non-Operating Expenses</t>
  </si>
  <si>
    <t>Interest Expenses</t>
  </si>
  <si>
    <t>Taxes</t>
  </si>
  <si>
    <t>Other Non-Operating Expenses</t>
  </si>
  <si>
    <t>Net Income</t>
  </si>
  <si>
    <t>Amount ($)</t>
  </si>
  <si>
    <t>Sub Total A</t>
  </si>
  <si>
    <t>Sub Total B</t>
  </si>
  <si>
    <t>Gross Profit C = A - B</t>
  </si>
  <si>
    <t>Sub Total D</t>
  </si>
  <si>
    <t>Sub Total E</t>
  </si>
  <si>
    <t>Net Income F = C - D + E</t>
  </si>
  <si>
    <t>Type (Cr/Dr)</t>
  </si>
  <si>
    <t>Cr</t>
  </si>
  <si>
    <t>Dr</t>
  </si>
  <si>
    <t>Net Profit</t>
  </si>
  <si>
    <t>Amount ()</t>
  </si>
  <si>
    <t>Country</t>
  </si>
  <si>
    <t>Sales 2023 ($)</t>
  </si>
  <si>
    <t>Sales 2024 ($)</t>
  </si>
  <si>
    <t>United States</t>
  </si>
  <si>
    <t>China</t>
  </si>
  <si>
    <t>Japan</t>
  </si>
  <si>
    <t>Germany</t>
  </si>
  <si>
    <t>United Kingdom</t>
  </si>
  <si>
    <t>France</t>
  </si>
  <si>
    <t>India</t>
  </si>
  <si>
    <t>Brazil</t>
  </si>
  <si>
    <t>Canada</t>
  </si>
  <si>
    <t>Australia</t>
  </si>
  <si>
    <t>South Korea</t>
  </si>
  <si>
    <t>Italy</t>
  </si>
  <si>
    <t>Spain</t>
  </si>
  <si>
    <t>Mexico</t>
  </si>
  <si>
    <t>Netherlands</t>
  </si>
  <si>
    <t>Turkey</t>
  </si>
  <si>
    <t>Switzerland</t>
  </si>
  <si>
    <t>Russia</t>
  </si>
  <si>
    <t>Sweden</t>
  </si>
  <si>
    <t>Saudi Arabia</t>
  </si>
  <si>
    <t>Change</t>
  </si>
  <si>
    <t>Change %</t>
  </si>
  <si>
    <t>Average Change %</t>
  </si>
  <si>
    <t>If Change is less than equal to 7% write Stable if more than write Growth</t>
  </si>
  <si>
    <t>Growth</t>
  </si>
  <si>
    <t>Stable</t>
  </si>
  <si>
    <t>Remarks</t>
  </si>
  <si>
    <t>Product</t>
  </si>
  <si>
    <t>Smartphone X</t>
  </si>
  <si>
    <t>Laptop Y</t>
  </si>
  <si>
    <t>Smart TV Z</t>
  </si>
  <si>
    <t>Fitness Tracker</t>
  </si>
  <si>
    <t>Wireless Earbuds</t>
  </si>
  <si>
    <t>Sales 2023</t>
  </si>
  <si>
    <t>Sales 2024</t>
  </si>
  <si>
    <t xml:space="preserve"> Region    </t>
  </si>
  <si>
    <t xml:space="preserve"> North     </t>
  </si>
  <si>
    <t xml:space="preserve"> South     </t>
  </si>
  <si>
    <t xml:space="preserve"> East      </t>
  </si>
  <si>
    <t xml:space="preserve"> West      </t>
  </si>
  <si>
    <t>2022-2021</t>
  </si>
  <si>
    <t>2023-2022</t>
  </si>
  <si>
    <t>2024-2023</t>
  </si>
  <si>
    <t>Color Positive with Green and Negative with Red</t>
  </si>
  <si>
    <t>Order ID</t>
  </si>
  <si>
    <t>Quantity</t>
  </si>
  <si>
    <t>Price per Unit</t>
  </si>
  <si>
    <t>Product A</t>
  </si>
  <si>
    <t>Product B</t>
  </si>
  <si>
    <t>Product C</t>
  </si>
  <si>
    <t>Default Price</t>
  </si>
  <si>
    <t>Product D</t>
  </si>
  <si>
    <t>Amount</t>
  </si>
  <si>
    <t>Employee ID</t>
  </si>
  <si>
    <t>Employee Name</t>
  </si>
  <si>
    <t>Department ID</t>
  </si>
  <si>
    <t>Rajesh Kumar</t>
  </si>
  <si>
    <t>Priya Singh</t>
  </si>
  <si>
    <t>Sanjay Verma</t>
  </si>
  <si>
    <t>Neha Sharma</t>
  </si>
  <si>
    <t>Department Name</t>
  </si>
  <si>
    <t>Marketing</t>
  </si>
  <si>
    <t>Finance</t>
  </si>
  <si>
    <t>Machine ID</t>
  </si>
  <si>
    <t>Machine Name</t>
  </si>
  <si>
    <t>Production Quantity</t>
  </si>
  <si>
    <t>M101</t>
  </si>
  <si>
    <t>Machine A</t>
  </si>
  <si>
    <t>M102</t>
  </si>
  <si>
    <t>Machine B</t>
  </si>
  <si>
    <t>M103</t>
  </si>
  <si>
    <t>Machine C</t>
  </si>
  <si>
    <t>M104</t>
  </si>
  <si>
    <t>Machine D</t>
  </si>
  <si>
    <t>Rate</t>
  </si>
  <si>
    <t>Qty</t>
  </si>
  <si>
    <t>West</t>
  </si>
  <si>
    <t>South</t>
  </si>
  <si>
    <t>Virat Kohli (India)</t>
  </si>
  <si>
    <t>Steve Smith (Australia)</t>
  </si>
  <si>
    <t>Joe Root (England)</t>
  </si>
  <si>
    <t>Babar Azam (Pakistan)</t>
  </si>
  <si>
    <t>Jasprit Bumrah (India)</t>
  </si>
  <si>
    <t>Ben Stokes (England)</t>
  </si>
  <si>
    <t>David Warner (Australia)</t>
  </si>
  <si>
    <t>Rashid Khan (Afghanistan)</t>
  </si>
  <si>
    <t>Eoin Morgan (England)</t>
  </si>
  <si>
    <t>Pat Cummins (Australia)</t>
  </si>
  <si>
    <t>Mushfiqur Rahim (Bangladesh)</t>
  </si>
  <si>
    <t>Virat</t>
  </si>
  <si>
    <t>Steve</t>
  </si>
  <si>
    <t>Kane</t>
  </si>
  <si>
    <t>Joe</t>
  </si>
  <si>
    <t>Babar</t>
  </si>
  <si>
    <t>Quinton</t>
  </si>
  <si>
    <t>Jasprit</t>
  </si>
  <si>
    <t>Ben</t>
  </si>
  <si>
    <t>David</t>
  </si>
  <si>
    <t>Rashid</t>
  </si>
  <si>
    <t>Kohli</t>
  </si>
  <si>
    <t>Smith</t>
  </si>
  <si>
    <t>New</t>
  </si>
  <si>
    <t>Root</t>
  </si>
  <si>
    <t>Azam</t>
  </si>
  <si>
    <t>Bumrah</t>
  </si>
  <si>
    <t>Stokes</t>
  </si>
  <si>
    <t>Warner</t>
  </si>
  <si>
    <t>Khan</t>
  </si>
  <si>
    <t>New Zealand</t>
  </si>
  <si>
    <t>England</t>
  </si>
  <si>
    <t>Pakistan</t>
  </si>
  <si>
    <t>South Africa</t>
  </si>
  <si>
    <t>Afghanistan</t>
  </si>
  <si>
    <t>Ross</t>
  </si>
  <si>
    <t>Faf</t>
  </si>
  <si>
    <t>Shakib</t>
  </si>
  <si>
    <t>Eoin</t>
  </si>
  <si>
    <t>Pat</t>
  </si>
  <si>
    <t>Shai</t>
  </si>
  <si>
    <t>Mushfiqur</t>
  </si>
  <si>
    <t>Lasith</t>
  </si>
  <si>
    <t>Jason</t>
  </si>
  <si>
    <t>Kagiso</t>
  </si>
  <si>
    <t>Hasan</t>
  </si>
  <si>
    <t>Morgan</t>
  </si>
  <si>
    <t>Cummins</t>
  </si>
  <si>
    <t>Rahim</t>
  </si>
  <si>
    <t>Sri</t>
  </si>
  <si>
    <t>Bangladesh</t>
  </si>
  <si>
    <t>West Indies</t>
  </si>
  <si>
    <t>Sri Lanka</t>
  </si>
  <si>
    <t>First Name</t>
  </si>
  <si>
    <t>Last Name</t>
  </si>
  <si>
    <t>Kane New (New Zealand)</t>
  </si>
  <si>
    <t>Quinton South (South Africa)</t>
  </si>
  <si>
    <t>Ross New (New Zealand)</t>
  </si>
  <si>
    <t>Faf South (South Africa)</t>
  </si>
  <si>
    <t>Shakib Hasan (Bangladesh)</t>
  </si>
  <si>
    <t>Shai West (West Indies)</t>
  </si>
  <si>
    <t>Lasith Sri (Sri Lanka)</t>
  </si>
  <si>
    <t>Jason West (West Indies)</t>
  </si>
  <si>
    <t>Kagiso South (South Africa)</t>
  </si>
  <si>
    <t xml:space="preserve">Cricketers </t>
  </si>
  <si>
    <t>Show Criketers in List</t>
  </si>
  <si>
    <t>Ctrl + Page Down to navigate to right sheet</t>
  </si>
  <si>
    <t>Ctrl + Page Up to navigate to left sheet</t>
  </si>
  <si>
    <t>1. =sum(select the range)</t>
  </si>
  <si>
    <t>2. select the answer area and press Alt + =</t>
  </si>
  <si>
    <t>3. Select entire area keep the answer area blank at botton then</t>
  </si>
  <si>
    <t>press Alt + =</t>
  </si>
  <si>
    <t>Sum</t>
  </si>
  <si>
    <t>Ctrl + F to Find</t>
  </si>
  <si>
    <t>Down arrow in format and choose from cell to get a eye dropper</t>
  </si>
  <si>
    <t>Click the cell with the eye dropper to fetch the color of the cell</t>
  </si>
  <si>
    <t>Now click on Find All, Press Ctrl + A, Close the window</t>
  </si>
  <si>
    <t>Alt + = to auto sum in all the cells</t>
  </si>
  <si>
    <t>Select the Cell B2</t>
  </si>
  <si>
    <t>Press Shift and click on cell B27</t>
  </si>
  <si>
    <t>Alt + = to get the total of totals</t>
  </si>
  <si>
    <t>Click on c2 and scroll down press Shift and Click on C26 to select entire range</t>
  </si>
  <si>
    <t>Ctrl + H to Find and Replace</t>
  </si>
  <si>
    <t>clear earlier formatting</t>
  </si>
  <si>
    <t>Type $ in Find text box</t>
  </si>
  <si>
    <t>and keep the replace text box as blank</t>
  </si>
  <si>
    <t>and click on Replace All</t>
  </si>
  <si>
    <t>Ctrl + shift + 5% to convert number format to % style</t>
  </si>
  <si>
    <t xml:space="preserve">To Fill the content bring your cursor to bottom right of cell and </t>
  </si>
  <si>
    <t>double click</t>
  </si>
  <si>
    <t>Alt DS for Data Sort</t>
  </si>
  <si>
    <t>Ctrl + Enter while in single cell edit mode will keep you in the same cell</t>
  </si>
  <si>
    <t>Alt DS to sort</t>
  </si>
  <si>
    <t>Alt OD for Conditional Format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</si>
</sst>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8" tint="0.79998168889431442"/>
        <bgColor indexed="64"/>
      </patternFill>
    </fill>
    <fill>
      <patternFill patternType="solid">
        <fgColor theme="8" tint="0.59999389629810485"/>
        <bgColor indexed="64"/>
      </patternFill>
    </fill>
  </fills>
  <borders count="9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0" fillId="2" borderId="0" xfId="0" applyFill="1"/>
    <xf numFmtId="0" fontId="0" fillId="3" borderId="0" xfId="0" applyFill="1"/>
    <xf numFmtId="3" fontId="0" fillId="0" borderId="0" xfId="0" applyNumberFormat="1"/>
    <xf numFmtId="0" fontId="0" fillId="0" borderId="1" xfId="0" applyBorder="1"/>
    <xf numFmtId="0" fontId="0" fillId="0" borderId="2" xfId="0" applyBorder="1"/>
    <xf numFmtId="0" fontId="0" fillId="0" borderId="3" xfId="0" applyBorder="1"/>
    <xf numFmtId="0" fontId="0" fillId="0" borderId="4" xfId="0" applyBorder="1"/>
    <xf numFmtId="0" fontId="0" fillId="0" borderId="5" xfId="0" applyBorder="1"/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1" fillId="0" borderId="0" xfId="0" applyFont="1"/>
    <xf numFmtId="3" fontId="0" fillId="3" borderId="0" xfId="0" applyNumberFormat="1" applyFill="1"/>
    <xf numFmtId="9" fontId="0" fillId="3" borderId="0" xfId="0" applyNumberFormat="1" applyFill="1"/>
  </cellXfs>
  <cellStyles count="1">
    <cellStyle name="Normal" xfId="0" builtinId="0"/>
  </cellStyles>
  <dxfs count="4">
    <dxf>
      <fill>
        <patternFill>
          <bgColor theme="7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9" tint="0.59996337778862885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theme" Target="theme/theme1.xml"/><Relationship Id="rId8" Type="http://schemas.openxmlformats.org/officeDocument/2006/relationships/worksheet" Target="worksheets/sheet8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607391</xdr:colOff>
      <xdr:row>8</xdr:row>
      <xdr:rowOff>0</xdr:rowOff>
    </xdr:from>
    <xdr:to>
      <xdr:col>6</xdr:col>
      <xdr:colOff>558817</xdr:colOff>
      <xdr:row>13</xdr:row>
      <xdr:rowOff>3313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32A75AF-E275-298D-66A6-BDBFDB8C966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3821043" y="1457739"/>
          <a:ext cx="1773600" cy="914400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0</xdr:colOff>
      <xdr:row>1</xdr:row>
      <xdr:rowOff>0</xdr:rowOff>
    </xdr:from>
    <xdr:to>
      <xdr:col>9</xdr:col>
      <xdr:colOff>241018</xdr:colOff>
      <xdr:row>8</xdr:row>
      <xdr:rowOff>72292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11272E3-6234-D3BA-3623-37D319074B7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3770923" y="185615"/>
          <a:ext cx="3811672" cy="13716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B26"/>
  <sheetViews>
    <sheetView zoomScale="175" zoomScaleNormal="175" workbookViewId="0">
      <selection sqref="A1:B1048576"/>
    </sheetView>
  </sheetViews>
  <sheetFormatPr defaultRowHeight="14.5" x14ac:dyDescent="0.35"/>
  <cols>
    <col min="1" max="1" width="8.6328125" bestFit="1" customWidth="1"/>
    <col min="2" max="2" width="8.7265625" bestFit="1" customWidth="1"/>
    <col min="3" max="6" width="8.81640625" customWidth="1"/>
  </cols>
  <sheetData>
    <row r="1" spans="1:2" x14ac:dyDescent="0.35">
      <c r="A1" t="s">
        <v>0</v>
      </c>
      <c r="B1" t="s">
        <v>1</v>
      </c>
    </row>
    <row r="2" spans="1:2" x14ac:dyDescent="0.35">
      <c r="A2" t="s">
        <v>2</v>
      </c>
    </row>
    <row r="3" spans="1:2" x14ac:dyDescent="0.35">
      <c r="B3" t="s">
        <v>3</v>
      </c>
    </row>
    <row r="4" spans="1:2" x14ac:dyDescent="0.35">
      <c r="B4" t="s">
        <v>4</v>
      </c>
    </row>
    <row r="5" spans="1:2" x14ac:dyDescent="0.35">
      <c r="B5" t="s">
        <v>5</v>
      </c>
    </row>
    <row r="6" spans="1:2" x14ac:dyDescent="0.35">
      <c r="A6" t="s">
        <v>6</v>
      </c>
    </row>
    <row r="7" spans="1:2" x14ac:dyDescent="0.35">
      <c r="B7" t="s">
        <v>6</v>
      </c>
    </row>
    <row r="8" spans="1:2" x14ac:dyDescent="0.35">
      <c r="B8" t="s">
        <v>7</v>
      </c>
    </row>
    <row r="9" spans="1:2" x14ac:dyDescent="0.35">
      <c r="A9" t="s">
        <v>8</v>
      </c>
    </row>
    <row r="10" spans="1:2" x14ac:dyDescent="0.35">
      <c r="B10" t="s">
        <v>9</v>
      </c>
    </row>
    <row r="11" spans="1:2" x14ac:dyDescent="0.35">
      <c r="B11" t="s">
        <v>10</v>
      </c>
    </row>
    <row r="12" spans="1:2" x14ac:dyDescent="0.35">
      <c r="B12" t="s">
        <v>11</v>
      </c>
    </row>
    <row r="13" spans="1:2" x14ac:dyDescent="0.35">
      <c r="B13" t="s">
        <v>12</v>
      </c>
    </row>
    <row r="14" spans="1:2" x14ac:dyDescent="0.35">
      <c r="B14" t="s">
        <v>13</v>
      </c>
    </row>
    <row r="15" spans="1:2" x14ac:dyDescent="0.35">
      <c r="B15" t="s">
        <v>14</v>
      </c>
    </row>
    <row r="16" spans="1:2" x14ac:dyDescent="0.35">
      <c r="A16" t="s">
        <v>15</v>
      </c>
    </row>
    <row r="17" spans="1:2" x14ac:dyDescent="0.35">
      <c r="B17" t="s">
        <v>15</v>
      </c>
    </row>
    <row r="18" spans="1:2" x14ac:dyDescent="0.35">
      <c r="A18" t="s">
        <v>16</v>
      </c>
    </row>
    <row r="19" spans="1:2" x14ac:dyDescent="0.35">
      <c r="B19" t="s">
        <v>17</v>
      </c>
    </row>
    <row r="20" spans="1:2" x14ac:dyDescent="0.35">
      <c r="B20" t="s">
        <v>18</v>
      </c>
    </row>
    <row r="21" spans="1:2" x14ac:dyDescent="0.35">
      <c r="A21" t="s">
        <v>19</v>
      </c>
    </row>
    <row r="22" spans="1:2" x14ac:dyDescent="0.35">
      <c r="B22" t="s">
        <v>20</v>
      </c>
    </row>
    <row r="23" spans="1:2" x14ac:dyDescent="0.35">
      <c r="B23" t="s">
        <v>21</v>
      </c>
    </row>
    <row r="24" spans="1:2" x14ac:dyDescent="0.35">
      <c r="B24" t="s">
        <v>22</v>
      </c>
    </row>
    <row r="25" spans="1:2" x14ac:dyDescent="0.35">
      <c r="A25" t="s">
        <v>23</v>
      </c>
    </row>
    <row r="26" spans="1:2" x14ac:dyDescent="0.35">
      <c r="B26" t="s">
        <v>23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AC0BB4-4773-48E8-A19B-13E0486D006E}">
  <sheetPr codeName="Sheet2"/>
  <dimension ref="A1:F26"/>
  <sheetViews>
    <sheetView zoomScale="175" zoomScaleNormal="175" workbookViewId="0">
      <selection activeCell="F2" sqref="F2"/>
    </sheetView>
  </sheetViews>
  <sheetFormatPr defaultRowHeight="14.5" x14ac:dyDescent="0.35"/>
  <cols>
    <col min="1" max="6" width="8.81640625" customWidth="1"/>
  </cols>
  <sheetData>
    <row r="1" spans="1:6" x14ac:dyDescent="0.35">
      <c r="A1" t="s">
        <v>0</v>
      </c>
      <c r="B1" t="s">
        <v>1</v>
      </c>
      <c r="F1" t="s">
        <v>183</v>
      </c>
    </row>
    <row r="2" spans="1:6" x14ac:dyDescent="0.35">
      <c r="A2" t="s">
        <v>2</v>
      </c>
      <c r="F2" t="s">
        <v>184</v>
      </c>
    </row>
    <row r="3" spans="1:6" x14ac:dyDescent="0.35">
      <c r="B3" t="s">
        <v>3</v>
      </c>
    </row>
    <row r="4" spans="1:6" x14ac:dyDescent="0.35">
      <c r="B4" t="s">
        <v>4</v>
      </c>
    </row>
    <row r="5" spans="1:6" x14ac:dyDescent="0.35">
      <c r="B5" t="s">
        <v>5</v>
      </c>
    </row>
    <row r="6" spans="1:6" x14ac:dyDescent="0.35">
      <c r="A6" t="s">
        <v>6</v>
      </c>
    </row>
    <row r="7" spans="1:6" x14ac:dyDescent="0.35">
      <c r="B7" t="s">
        <v>6</v>
      </c>
    </row>
    <row r="8" spans="1:6" x14ac:dyDescent="0.35">
      <c r="B8" t="s">
        <v>7</v>
      </c>
    </row>
    <row r="9" spans="1:6" x14ac:dyDescent="0.35">
      <c r="A9" t="s">
        <v>8</v>
      </c>
    </row>
    <row r="10" spans="1:6" x14ac:dyDescent="0.35">
      <c r="B10" t="s">
        <v>9</v>
      </c>
    </row>
    <row r="11" spans="1:6" x14ac:dyDescent="0.35">
      <c r="B11" t="s">
        <v>10</v>
      </c>
    </row>
    <row r="12" spans="1:6" x14ac:dyDescent="0.35">
      <c r="B12" t="s">
        <v>11</v>
      </c>
    </row>
    <row r="13" spans="1:6" x14ac:dyDescent="0.35">
      <c r="B13" t="s">
        <v>12</v>
      </c>
    </row>
    <row r="14" spans="1:6" x14ac:dyDescent="0.35">
      <c r="B14" t="s">
        <v>13</v>
      </c>
    </row>
    <row r="15" spans="1:6" x14ac:dyDescent="0.35">
      <c r="B15" t="s">
        <v>14</v>
      </c>
    </row>
    <row r="16" spans="1:6" x14ac:dyDescent="0.35">
      <c r="A16" t="s">
        <v>15</v>
      </c>
    </row>
    <row r="17" spans="1:2" x14ac:dyDescent="0.35">
      <c r="B17" t="s">
        <v>15</v>
      </c>
    </row>
    <row r="18" spans="1:2" x14ac:dyDescent="0.35">
      <c r="A18" t="s">
        <v>16</v>
      </c>
    </row>
    <row r="19" spans="1:2" x14ac:dyDescent="0.35">
      <c r="B19" t="s">
        <v>17</v>
      </c>
    </row>
    <row r="20" spans="1:2" x14ac:dyDescent="0.35">
      <c r="B20" t="s">
        <v>18</v>
      </c>
    </row>
    <row r="21" spans="1:2" x14ac:dyDescent="0.35">
      <c r="A21" t="s">
        <v>19</v>
      </c>
    </row>
    <row r="22" spans="1:2" x14ac:dyDescent="0.35">
      <c r="B22" t="s">
        <v>20</v>
      </c>
    </row>
    <row r="23" spans="1:2" x14ac:dyDescent="0.35">
      <c r="B23" t="s">
        <v>21</v>
      </c>
    </row>
    <row r="24" spans="1:2" x14ac:dyDescent="0.35">
      <c r="B24" t="s">
        <v>22</v>
      </c>
    </row>
    <row r="25" spans="1:2" x14ac:dyDescent="0.35">
      <c r="A25" t="s">
        <v>23</v>
      </c>
    </row>
    <row r="26" spans="1:2" x14ac:dyDescent="0.35">
      <c r="B26" t="s">
        <v>23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6E6CBE-9EEB-472A-AFDA-998487B6F670}">
  <sheetPr codeName="Sheet3"/>
  <dimension ref="A1:E28"/>
  <sheetViews>
    <sheetView zoomScale="115" zoomScaleNormal="115" workbookViewId="0">
      <selection activeCell="B5" sqref="B5"/>
    </sheetView>
  </sheetViews>
  <sheetFormatPr defaultRowHeight="14.5" x14ac:dyDescent="0.35"/>
  <cols>
    <col min="1" max="1" width="27" bestFit="1" customWidth="1"/>
    <col min="2" max="2" width="10.26953125" bestFit="1" customWidth="1"/>
  </cols>
  <sheetData>
    <row r="1" spans="1:5" x14ac:dyDescent="0.35">
      <c r="A1" t="s">
        <v>1</v>
      </c>
      <c r="B1" t="s">
        <v>24</v>
      </c>
      <c r="E1" s="12" t="s">
        <v>189</v>
      </c>
    </row>
    <row r="2" spans="1:5" x14ac:dyDescent="0.35">
      <c r="E2" t="s">
        <v>185</v>
      </c>
    </row>
    <row r="3" spans="1:5" x14ac:dyDescent="0.35">
      <c r="A3" t="s">
        <v>3</v>
      </c>
      <c r="B3">
        <v>150000</v>
      </c>
      <c r="E3" t="s">
        <v>186</v>
      </c>
    </row>
    <row r="4" spans="1:5" x14ac:dyDescent="0.35">
      <c r="A4" t="s">
        <v>4</v>
      </c>
      <c r="B4">
        <v>25000</v>
      </c>
      <c r="E4" t="s">
        <v>187</v>
      </c>
    </row>
    <row r="5" spans="1:5" x14ac:dyDescent="0.35">
      <c r="A5" t="s">
        <v>5</v>
      </c>
      <c r="B5">
        <v>5000</v>
      </c>
      <c r="E5" t="s">
        <v>188</v>
      </c>
    </row>
    <row r="6" spans="1:5" x14ac:dyDescent="0.35">
      <c r="A6" t="s">
        <v>25</v>
      </c>
      <c r="B6" s="1">
        <f>SUM(B3:B5)</f>
        <v>180000</v>
      </c>
    </row>
    <row r="8" spans="1:5" x14ac:dyDescent="0.35">
      <c r="A8" t="s">
        <v>6</v>
      </c>
      <c r="B8">
        <v>60000</v>
      </c>
      <c r="E8" t="s">
        <v>190</v>
      </c>
    </row>
    <row r="9" spans="1:5" x14ac:dyDescent="0.35">
      <c r="A9" t="s">
        <v>26</v>
      </c>
      <c r="B9" s="1">
        <f>SUM(B8)</f>
        <v>60000</v>
      </c>
    </row>
    <row r="10" spans="1:5" x14ac:dyDescent="0.35">
      <c r="A10" t="s">
        <v>27</v>
      </c>
      <c r="B10" s="2">
        <f>B6-B9</f>
        <v>120000</v>
      </c>
    </row>
    <row r="12" spans="1:5" x14ac:dyDescent="0.35">
      <c r="A12" t="s">
        <v>9</v>
      </c>
      <c r="B12">
        <v>30000</v>
      </c>
    </row>
    <row r="13" spans="1:5" x14ac:dyDescent="0.35">
      <c r="A13" t="s">
        <v>10</v>
      </c>
      <c r="B13">
        <v>15000</v>
      </c>
    </row>
    <row r="14" spans="1:5" x14ac:dyDescent="0.35">
      <c r="A14" t="s">
        <v>11</v>
      </c>
      <c r="B14">
        <v>2000</v>
      </c>
    </row>
    <row r="15" spans="1:5" x14ac:dyDescent="0.35">
      <c r="A15" t="s">
        <v>12</v>
      </c>
      <c r="B15">
        <v>10000</v>
      </c>
      <c r="E15" t="s">
        <v>191</v>
      </c>
    </row>
    <row r="16" spans="1:5" x14ac:dyDescent="0.35">
      <c r="A16" t="s">
        <v>13</v>
      </c>
      <c r="B16">
        <v>8000</v>
      </c>
      <c r="E16" t="s">
        <v>192</v>
      </c>
    </row>
    <row r="17" spans="1:5" x14ac:dyDescent="0.35">
      <c r="A17" t="s">
        <v>14</v>
      </c>
      <c r="B17">
        <v>5000</v>
      </c>
      <c r="E17" t="s">
        <v>193</v>
      </c>
    </row>
    <row r="18" spans="1:5" x14ac:dyDescent="0.35">
      <c r="A18" t="s">
        <v>20</v>
      </c>
      <c r="B18">
        <v>1500</v>
      </c>
      <c r="E18" t="s">
        <v>194</v>
      </c>
    </row>
    <row r="19" spans="1:5" x14ac:dyDescent="0.35">
      <c r="A19" t="s">
        <v>21</v>
      </c>
      <c r="B19">
        <v>10000</v>
      </c>
    </row>
    <row r="20" spans="1:5" x14ac:dyDescent="0.35">
      <c r="A20" t="s">
        <v>22</v>
      </c>
      <c r="B20">
        <v>500</v>
      </c>
    </row>
    <row r="21" spans="1:5" x14ac:dyDescent="0.35">
      <c r="A21" t="s">
        <v>28</v>
      </c>
      <c r="B21" s="1">
        <f>SUM(B12:B20)</f>
        <v>82000</v>
      </c>
    </row>
    <row r="23" spans="1:5" x14ac:dyDescent="0.35">
      <c r="A23" t="s">
        <v>15</v>
      </c>
      <c r="B23">
        <v>50000</v>
      </c>
    </row>
    <row r="24" spans="1:5" x14ac:dyDescent="0.35">
      <c r="A24" t="s">
        <v>17</v>
      </c>
      <c r="B24">
        <v>2000</v>
      </c>
    </row>
    <row r="25" spans="1:5" x14ac:dyDescent="0.35">
      <c r="A25" t="s">
        <v>18</v>
      </c>
      <c r="B25">
        <v>1000</v>
      </c>
    </row>
    <row r="26" spans="1:5" x14ac:dyDescent="0.35">
      <c r="A26" t="s">
        <v>29</v>
      </c>
      <c r="B26" s="1">
        <f>SUM(B23:B25)</f>
        <v>53000</v>
      </c>
    </row>
    <row r="28" spans="1:5" x14ac:dyDescent="0.35">
      <c r="A28" t="s">
        <v>30</v>
      </c>
      <c r="B28" s="2">
        <f>B10-B21+B26</f>
        <v>91000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D07E18-C4CA-471A-BB9D-6ECB50A2B4E5}">
  <sheetPr codeName="Sheet4"/>
  <dimension ref="A1:F27"/>
  <sheetViews>
    <sheetView topLeftCell="A14" workbookViewId="0">
      <selection activeCell="B28" sqref="B28"/>
    </sheetView>
  </sheetViews>
  <sheetFormatPr defaultRowHeight="14.5" x14ac:dyDescent="0.35"/>
  <cols>
    <col min="1" max="1" width="27" bestFit="1" customWidth="1"/>
    <col min="2" max="2" width="10.26953125" bestFit="1" customWidth="1"/>
  </cols>
  <sheetData>
    <row r="1" spans="1:6" x14ac:dyDescent="0.35">
      <c r="A1" t="s">
        <v>1</v>
      </c>
      <c r="B1" t="s">
        <v>24</v>
      </c>
    </row>
    <row r="3" spans="1:6" x14ac:dyDescent="0.35">
      <c r="A3" t="s">
        <v>3</v>
      </c>
      <c r="B3">
        <v>150000</v>
      </c>
    </row>
    <row r="4" spans="1:6" x14ac:dyDescent="0.35">
      <c r="A4" t="s">
        <v>4</v>
      </c>
      <c r="B4">
        <v>25000</v>
      </c>
    </row>
    <row r="5" spans="1:6" x14ac:dyDescent="0.35">
      <c r="A5" t="s">
        <v>5</v>
      </c>
      <c r="B5">
        <v>5000</v>
      </c>
    </row>
    <row r="6" spans="1:6" x14ac:dyDescent="0.35">
      <c r="A6" t="s">
        <v>25</v>
      </c>
      <c r="B6" s="1">
        <f>SUM(B3:B5)</f>
        <v>180000</v>
      </c>
    </row>
    <row r="8" spans="1:6" x14ac:dyDescent="0.35">
      <c r="A8" t="s">
        <v>6</v>
      </c>
      <c r="B8">
        <v>-60000</v>
      </c>
    </row>
    <row r="9" spans="1:6" x14ac:dyDescent="0.35">
      <c r="A9" t="s">
        <v>26</v>
      </c>
      <c r="B9" s="1">
        <f>SUM(B8)</f>
        <v>-60000</v>
      </c>
    </row>
    <row r="11" spans="1:6" x14ac:dyDescent="0.35">
      <c r="A11" t="s">
        <v>9</v>
      </c>
      <c r="B11">
        <v>-30000</v>
      </c>
    </row>
    <row r="12" spans="1:6" x14ac:dyDescent="0.35">
      <c r="A12" t="s">
        <v>10</v>
      </c>
      <c r="B12">
        <v>-15000</v>
      </c>
    </row>
    <row r="13" spans="1:6" x14ac:dyDescent="0.35">
      <c r="A13" t="s">
        <v>11</v>
      </c>
      <c r="B13">
        <v>-2000</v>
      </c>
    </row>
    <row r="14" spans="1:6" x14ac:dyDescent="0.35">
      <c r="A14" t="s">
        <v>12</v>
      </c>
      <c r="B14">
        <v>-10000</v>
      </c>
      <c r="F14" t="s">
        <v>195</v>
      </c>
    </row>
    <row r="15" spans="1:6" x14ac:dyDescent="0.35">
      <c r="A15" t="s">
        <v>13</v>
      </c>
      <c r="B15">
        <v>-8000</v>
      </c>
      <c r="F15" t="s">
        <v>196</v>
      </c>
    </row>
    <row r="16" spans="1:6" x14ac:dyDescent="0.35">
      <c r="A16" t="s">
        <v>14</v>
      </c>
      <c r="B16">
        <v>-5000</v>
      </c>
      <c r="F16" t="s">
        <v>197</v>
      </c>
    </row>
    <row r="17" spans="1:2" x14ac:dyDescent="0.35">
      <c r="A17" t="s">
        <v>20</v>
      </c>
      <c r="B17">
        <v>-1500</v>
      </c>
    </row>
    <row r="18" spans="1:2" x14ac:dyDescent="0.35">
      <c r="A18" t="s">
        <v>21</v>
      </c>
      <c r="B18">
        <v>-10000</v>
      </c>
    </row>
    <row r="19" spans="1:2" x14ac:dyDescent="0.35">
      <c r="A19" t="s">
        <v>22</v>
      </c>
      <c r="B19">
        <v>-500</v>
      </c>
    </row>
    <row r="20" spans="1:2" x14ac:dyDescent="0.35">
      <c r="A20" t="s">
        <v>28</v>
      </c>
      <c r="B20" s="1">
        <f>SUM(B11:B19)</f>
        <v>-82000</v>
      </c>
    </row>
    <row r="22" spans="1:2" x14ac:dyDescent="0.35">
      <c r="A22" t="s">
        <v>15</v>
      </c>
      <c r="B22">
        <v>50000</v>
      </c>
    </row>
    <row r="23" spans="1:2" x14ac:dyDescent="0.35">
      <c r="A23" t="s">
        <v>17</v>
      </c>
      <c r="B23">
        <v>2000</v>
      </c>
    </row>
    <row r="24" spans="1:2" x14ac:dyDescent="0.35">
      <c r="A24" t="s">
        <v>18</v>
      </c>
      <c r="B24">
        <v>1000</v>
      </c>
    </row>
    <row r="25" spans="1:2" x14ac:dyDescent="0.35">
      <c r="A25" t="s">
        <v>29</v>
      </c>
      <c r="B25" s="1">
        <f>SUM(B22:B24)</f>
        <v>53000</v>
      </c>
    </row>
    <row r="27" spans="1:2" x14ac:dyDescent="0.35">
      <c r="A27" t="s">
        <v>23</v>
      </c>
      <c r="B27" s="2">
        <f>SUM(B25,B20,B9,B6)</f>
        <v>91000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D3D2AC-8A7E-4FD5-9CA0-2BB5DC5B55A8}">
  <sheetPr codeName="Sheet5"/>
  <dimension ref="A1:F26"/>
  <sheetViews>
    <sheetView topLeftCell="A5" workbookViewId="0">
      <selection activeCell="C15" sqref="C15"/>
    </sheetView>
  </sheetViews>
  <sheetFormatPr defaultRowHeight="14.5" x14ac:dyDescent="0.35"/>
  <cols>
    <col min="1" max="1" width="21.6328125" bestFit="1" customWidth="1"/>
    <col min="2" max="2" width="27" bestFit="1" customWidth="1"/>
    <col min="3" max="3" width="10.26953125" bestFit="1" customWidth="1"/>
    <col min="4" max="4" width="11.1796875" bestFit="1" customWidth="1"/>
  </cols>
  <sheetData>
    <row r="1" spans="1:6" x14ac:dyDescent="0.35">
      <c r="A1" t="s">
        <v>0</v>
      </c>
      <c r="B1" t="s">
        <v>1</v>
      </c>
      <c r="C1" t="s">
        <v>24</v>
      </c>
      <c r="D1" t="s">
        <v>31</v>
      </c>
    </row>
    <row r="2" spans="1:6" x14ac:dyDescent="0.35">
      <c r="A2" t="s">
        <v>2</v>
      </c>
    </row>
    <row r="3" spans="1:6" x14ac:dyDescent="0.35">
      <c r="B3" t="s">
        <v>3</v>
      </c>
      <c r="C3" s="3">
        <v>150000</v>
      </c>
      <c r="D3" t="s">
        <v>32</v>
      </c>
    </row>
    <row r="4" spans="1:6" x14ac:dyDescent="0.35">
      <c r="B4" t="s">
        <v>4</v>
      </c>
      <c r="C4" s="3">
        <v>25000</v>
      </c>
      <c r="D4" t="s">
        <v>32</v>
      </c>
      <c r="F4" t="s">
        <v>198</v>
      </c>
    </row>
    <row r="5" spans="1:6" x14ac:dyDescent="0.35">
      <c r="B5" t="s">
        <v>5</v>
      </c>
      <c r="C5" s="3">
        <v>5000</v>
      </c>
      <c r="D5" t="s">
        <v>32</v>
      </c>
    </row>
    <row r="6" spans="1:6" x14ac:dyDescent="0.35">
      <c r="F6" t="s">
        <v>199</v>
      </c>
    </row>
    <row r="7" spans="1:6" x14ac:dyDescent="0.35">
      <c r="A7" t="s">
        <v>6</v>
      </c>
      <c r="F7" t="s">
        <v>200</v>
      </c>
    </row>
    <row r="8" spans="1:6" x14ac:dyDescent="0.35">
      <c r="B8" t="s">
        <v>6</v>
      </c>
      <c r="C8" s="3">
        <v>60000</v>
      </c>
      <c r="D8" t="s">
        <v>33</v>
      </c>
      <c r="F8" t="s">
        <v>201</v>
      </c>
    </row>
    <row r="9" spans="1:6" x14ac:dyDescent="0.35">
      <c r="F9" t="s">
        <v>202</v>
      </c>
    </row>
    <row r="10" spans="1:6" x14ac:dyDescent="0.35">
      <c r="A10" t="s">
        <v>8</v>
      </c>
      <c r="F10" t="s">
        <v>203</v>
      </c>
    </row>
    <row r="11" spans="1:6" x14ac:dyDescent="0.35">
      <c r="B11" t="s">
        <v>9</v>
      </c>
      <c r="C11" s="3">
        <v>30000</v>
      </c>
      <c r="D11" t="s">
        <v>33</v>
      </c>
    </row>
    <row r="12" spans="1:6" x14ac:dyDescent="0.35">
      <c r="B12" t="s">
        <v>10</v>
      </c>
      <c r="C12" s="3">
        <v>15000</v>
      </c>
      <c r="D12" t="s">
        <v>33</v>
      </c>
    </row>
    <row r="13" spans="1:6" x14ac:dyDescent="0.35">
      <c r="B13" t="s">
        <v>11</v>
      </c>
      <c r="C13" s="3">
        <v>2000</v>
      </c>
      <c r="D13" t="s">
        <v>33</v>
      </c>
    </row>
    <row r="14" spans="1:6" x14ac:dyDescent="0.35">
      <c r="B14" t="s">
        <v>12</v>
      </c>
      <c r="C14" s="3">
        <v>10000</v>
      </c>
      <c r="D14" t="s">
        <v>33</v>
      </c>
    </row>
    <row r="15" spans="1:6" x14ac:dyDescent="0.35">
      <c r="B15" t="s">
        <v>13</v>
      </c>
      <c r="C15" s="3">
        <v>8000</v>
      </c>
      <c r="D15" t="s">
        <v>33</v>
      </c>
    </row>
    <row r="16" spans="1:6" x14ac:dyDescent="0.35">
      <c r="B16" t="s">
        <v>14</v>
      </c>
      <c r="C16" s="3">
        <v>5000</v>
      </c>
      <c r="D16" t="s">
        <v>33</v>
      </c>
    </row>
    <row r="18" spans="1:4" x14ac:dyDescent="0.35">
      <c r="A18" t="s">
        <v>16</v>
      </c>
    </row>
    <row r="19" spans="1:4" x14ac:dyDescent="0.35">
      <c r="B19" t="s">
        <v>17</v>
      </c>
      <c r="C19" s="3">
        <v>2000</v>
      </c>
      <c r="D19" t="s">
        <v>32</v>
      </c>
    </row>
    <row r="20" spans="1:4" x14ac:dyDescent="0.35">
      <c r="B20" t="s">
        <v>18</v>
      </c>
      <c r="C20" s="3">
        <v>1000</v>
      </c>
      <c r="D20" t="s">
        <v>32</v>
      </c>
    </row>
    <row r="21" spans="1:4" x14ac:dyDescent="0.35">
      <c r="A21" t="s">
        <v>19</v>
      </c>
    </row>
    <row r="22" spans="1:4" x14ac:dyDescent="0.35">
      <c r="B22" t="s">
        <v>20</v>
      </c>
      <c r="C22" s="3">
        <v>1500</v>
      </c>
      <c r="D22" t="s">
        <v>33</v>
      </c>
    </row>
    <row r="23" spans="1:4" x14ac:dyDescent="0.35">
      <c r="B23" t="s">
        <v>21</v>
      </c>
      <c r="C23" s="3">
        <v>10000</v>
      </c>
      <c r="D23" t="s">
        <v>33</v>
      </c>
    </row>
    <row r="24" spans="1:4" x14ac:dyDescent="0.35">
      <c r="B24" t="s">
        <v>22</v>
      </c>
      <c r="C24">
        <v>500</v>
      </c>
      <c r="D24" t="s">
        <v>33</v>
      </c>
    </row>
    <row r="26" spans="1:4" x14ac:dyDescent="0.35">
      <c r="A26" t="s">
        <v>34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644BEE-B0B2-402C-A2A9-377A369330BC}">
  <sheetPr codeName="Sheet6"/>
  <dimension ref="A1:D26"/>
  <sheetViews>
    <sheetView topLeftCell="A17" zoomScale="115" zoomScaleNormal="115" workbookViewId="0">
      <selection activeCell="C27" sqref="C27"/>
    </sheetView>
  </sheetViews>
  <sheetFormatPr defaultRowHeight="14.5" x14ac:dyDescent="0.35"/>
  <cols>
    <col min="1" max="1" width="21.6328125" bestFit="1" customWidth="1"/>
    <col min="2" max="2" width="27" bestFit="1" customWidth="1"/>
    <col min="3" max="3" width="10.26953125" bestFit="1" customWidth="1"/>
    <col min="4" max="4" width="11.1796875" bestFit="1" customWidth="1"/>
  </cols>
  <sheetData>
    <row r="1" spans="1:4" x14ac:dyDescent="0.35">
      <c r="A1" t="s">
        <v>0</v>
      </c>
      <c r="B1" t="s">
        <v>1</v>
      </c>
      <c r="C1" t="s">
        <v>35</v>
      </c>
      <c r="D1" t="s">
        <v>31</v>
      </c>
    </row>
    <row r="2" spans="1:4" x14ac:dyDescent="0.35">
      <c r="A2" t="s">
        <v>2</v>
      </c>
    </row>
    <row r="3" spans="1:4" x14ac:dyDescent="0.35">
      <c r="B3" t="s">
        <v>3</v>
      </c>
      <c r="C3" s="3">
        <v>150000</v>
      </c>
      <c r="D3" t="s">
        <v>32</v>
      </c>
    </row>
    <row r="4" spans="1:4" x14ac:dyDescent="0.35">
      <c r="B4" t="s">
        <v>4</v>
      </c>
      <c r="C4" s="3">
        <v>25000</v>
      </c>
      <c r="D4" t="s">
        <v>32</v>
      </c>
    </row>
    <row r="5" spans="1:4" x14ac:dyDescent="0.35">
      <c r="B5" t="s">
        <v>5</v>
      </c>
      <c r="C5" s="3">
        <v>5000</v>
      </c>
      <c r="D5" t="s">
        <v>32</v>
      </c>
    </row>
    <row r="7" spans="1:4" x14ac:dyDescent="0.35">
      <c r="A7" t="s">
        <v>6</v>
      </c>
    </row>
    <row r="8" spans="1:4" x14ac:dyDescent="0.35">
      <c r="B8" t="s">
        <v>6</v>
      </c>
      <c r="C8" s="3">
        <v>60000</v>
      </c>
      <c r="D8" t="s">
        <v>33</v>
      </c>
    </row>
    <row r="10" spans="1:4" x14ac:dyDescent="0.35">
      <c r="A10" t="s">
        <v>8</v>
      </c>
    </row>
    <row r="11" spans="1:4" x14ac:dyDescent="0.35">
      <c r="B11" t="s">
        <v>9</v>
      </c>
      <c r="C11" s="3">
        <v>30000</v>
      </c>
      <c r="D11" t="s">
        <v>33</v>
      </c>
    </row>
    <row r="12" spans="1:4" x14ac:dyDescent="0.35">
      <c r="B12" t="s">
        <v>10</v>
      </c>
      <c r="C12" s="3">
        <v>15000</v>
      </c>
      <c r="D12" t="s">
        <v>33</v>
      </c>
    </row>
    <row r="13" spans="1:4" x14ac:dyDescent="0.35">
      <c r="B13" t="s">
        <v>11</v>
      </c>
      <c r="C13" s="3">
        <v>2000</v>
      </c>
      <c r="D13" t="s">
        <v>33</v>
      </c>
    </row>
    <row r="14" spans="1:4" x14ac:dyDescent="0.35">
      <c r="B14" t="s">
        <v>12</v>
      </c>
      <c r="C14" s="3">
        <v>10000</v>
      </c>
      <c r="D14" t="s">
        <v>33</v>
      </c>
    </row>
    <row r="15" spans="1:4" x14ac:dyDescent="0.35">
      <c r="B15" t="s">
        <v>13</v>
      </c>
      <c r="C15" s="3">
        <v>8000</v>
      </c>
      <c r="D15" t="s">
        <v>33</v>
      </c>
    </row>
    <row r="16" spans="1:4" x14ac:dyDescent="0.35">
      <c r="B16" t="s">
        <v>14</v>
      </c>
      <c r="C16" s="3">
        <v>5000</v>
      </c>
      <c r="D16" t="s">
        <v>33</v>
      </c>
    </row>
    <row r="18" spans="1:4" x14ac:dyDescent="0.35">
      <c r="A18" t="s">
        <v>16</v>
      </c>
    </row>
    <row r="19" spans="1:4" x14ac:dyDescent="0.35">
      <c r="B19" t="s">
        <v>17</v>
      </c>
      <c r="C19" s="3">
        <v>2000</v>
      </c>
      <c r="D19" t="s">
        <v>32</v>
      </c>
    </row>
    <row r="20" spans="1:4" x14ac:dyDescent="0.35">
      <c r="B20" t="s">
        <v>18</v>
      </c>
      <c r="C20" s="3">
        <v>1000</v>
      </c>
      <c r="D20" t="s">
        <v>32</v>
      </c>
    </row>
    <row r="21" spans="1:4" x14ac:dyDescent="0.35">
      <c r="A21" t="s">
        <v>19</v>
      </c>
    </row>
    <row r="22" spans="1:4" x14ac:dyDescent="0.35">
      <c r="B22" t="s">
        <v>20</v>
      </c>
      <c r="C22" s="3">
        <v>1500</v>
      </c>
      <c r="D22" t="s">
        <v>33</v>
      </c>
    </row>
    <row r="23" spans="1:4" x14ac:dyDescent="0.35">
      <c r="B23" t="s">
        <v>21</v>
      </c>
      <c r="C23" s="3">
        <v>10000</v>
      </c>
      <c r="D23" t="s">
        <v>33</v>
      </c>
    </row>
    <row r="24" spans="1:4" x14ac:dyDescent="0.35">
      <c r="B24" t="s">
        <v>22</v>
      </c>
      <c r="C24">
        <v>500</v>
      </c>
      <c r="D24" t="s">
        <v>33</v>
      </c>
    </row>
    <row r="26" spans="1:4" x14ac:dyDescent="0.35">
      <c r="A26" t="s">
        <v>34</v>
      </c>
      <c r="C26" s="13">
        <f>SUMIFS(C3:C24,D3:D24,"Cr")-SUMIFS(C3:C24,D3:D24,"Dr")</f>
        <v>41000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6E0913-03DB-4BDC-BE04-35311E3D514A}">
  <sheetPr codeName="Sheet7"/>
  <dimension ref="A1:F21"/>
  <sheetViews>
    <sheetView topLeftCell="A8" zoomScale="130" zoomScaleNormal="130" workbookViewId="0">
      <selection activeCell="D2" sqref="D2:D21"/>
    </sheetView>
  </sheetViews>
  <sheetFormatPr defaultRowHeight="14.5" x14ac:dyDescent="0.35"/>
  <cols>
    <col min="1" max="1" width="14.1796875" bestFit="1" customWidth="1"/>
    <col min="2" max="2" width="12.1796875" bestFit="1" customWidth="1"/>
    <col min="3" max="3" width="14.90625" customWidth="1"/>
  </cols>
  <sheetData>
    <row r="1" spans="1:6" x14ac:dyDescent="0.35">
      <c r="A1" t="s">
        <v>36</v>
      </c>
      <c r="B1" t="s">
        <v>37</v>
      </c>
      <c r="C1" t="s">
        <v>38</v>
      </c>
      <c r="D1" t="s">
        <v>60</v>
      </c>
    </row>
    <row r="2" spans="1:6" x14ac:dyDescent="0.35">
      <c r="A2" t="s">
        <v>39</v>
      </c>
      <c r="B2">
        <v>500000</v>
      </c>
      <c r="C2">
        <v>550000</v>
      </c>
      <c r="D2" s="14">
        <f>(C2-B2)/B2</f>
        <v>0.1</v>
      </c>
      <c r="F2" t="s">
        <v>204</v>
      </c>
    </row>
    <row r="3" spans="1:6" x14ac:dyDescent="0.35">
      <c r="A3" t="s">
        <v>40</v>
      </c>
      <c r="B3">
        <v>450000</v>
      </c>
      <c r="C3">
        <v>480000</v>
      </c>
      <c r="D3" s="14">
        <f t="shared" ref="D3:D21" si="0">(C3-B3)/B3</f>
        <v>6.6666666666666666E-2</v>
      </c>
    </row>
    <row r="4" spans="1:6" x14ac:dyDescent="0.35">
      <c r="A4" t="s">
        <v>41</v>
      </c>
      <c r="B4">
        <v>300000</v>
      </c>
      <c r="C4">
        <v>320000</v>
      </c>
      <c r="D4" s="14">
        <f t="shared" si="0"/>
        <v>6.6666666666666666E-2</v>
      </c>
      <c r="F4" t="s">
        <v>205</v>
      </c>
    </row>
    <row r="5" spans="1:6" x14ac:dyDescent="0.35">
      <c r="A5" t="s">
        <v>42</v>
      </c>
      <c r="B5">
        <v>280000</v>
      </c>
      <c r="C5">
        <v>290000</v>
      </c>
      <c r="D5" s="14">
        <f t="shared" si="0"/>
        <v>3.5714285714285712E-2</v>
      </c>
      <c r="F5" t="s">
        <v>206</v>
      </c>
    </row>
    <row r="6" spans="1:6" x14ac:dyDescent="0.35">
      <c r="A6" t="s">
        <v>43</v>
      </c>
      <c r="B6">
        <v>260000</v>
      </c>
      <c r="C6">
        <v>270000</v>
      </c>
      <c r="D6" s="14">
        <f t="shared" si="0"/>
        <v>3.8461538461538464E-2</v>
      </c>
    </row>
    <row r="7" spans="1:6" x14ac:dyDescent="0.35">
      <c r="A7" t="s">
        <v>44</v>
      </c>
      <c r="B7">
        <v>240000</v>
      </c>
      <c r="C7">
        <v>255000</v>
      </c>
      <c r="D7" s="14">
        <f t="shared" si="0"/>
        <v>6.25E-2</v>
      </c>
    </row>
    <row r="8" spans="1:6" x14ac:dyDescent="0.35">
      <c r="A8" t="s">
        <v>45</v>
      </c>
      <c r="B8">
        <v>200000</v>
      </c>
      <c r="C8">
        <v>220000</v>
      </c>
      <c r="D8" s="14">
        <f t="shared" si="0"/>
        <v>0.1</v>
      </c>
    </row>
    <row r="9" spans="1:6" x14ac:dyDescent="0.35">
      <c r="A9" t="s">
        <v>46</v>
      </c>
      <c r="B9">
        <v>180000</v>
      </c>
      <c r="C9">
        <v>190000</v>
      </c>
      <c r="D9" s="14">
        <f t="shared" si="0"/>
        <v>5.5555555555555552E-2</v>
      </c>
    </row>
    <row r="10" spans="1:6" x14ac:dyDescent="0.35">
      <c r="A10" t="s">
        <v>47</v>
      </c>
      <c r="B10">
        <v>170000</v>
      </c>
      <c r="C10">
        <v>185000</v>
      </c>
      <c r="D10" s="14">
        <f t="shared" si="0"/>
        <v>8.8235294117647065E-2</v>
      </c>
    </row>
    <row r="11" spans="1:6" x14ac:dyDescent="0.35">
      <c r="A11" t="s">
        <v>48</v>
      </c>
      <c r="B11">
        <v>160000</v>
      </c>
      <c r="C11">
        <v>170000</v>
      </c>
      <c r="D11" s="14">
        <f t="shared" si="0"/>
        <v>6.25E-2</v>
      </c>
    </row>
    <row r="12" spans="1:6" x14ac:dyDescent="0.35">
      <c r="A12" t="s">
        <v>49</v>
      </c>
      <c r="B12">
        <v>150000</v>
      </c>
      <c r="C12">
        <v>160000</v>
      </c>
      <c r="D12" s="14">
        <f t="shared" si="0"/>
        <v>6.6666666666666666E-2</v>
      </c>
    </row>
    <row r="13" spans="1:6" x14ac:dyDescent="0.35">
      <c r="A13" t="s">
        <v>50</v>
      </c>
      <c r="B13">
        <v>140000</v>
      </c>
      <c r="C13">
        <v>155000</v>
      </c>
      <c r="D13" s="14">
        <f t="shared" si="0"/>
        <v>0.10714285714285714</v>
      </c>
    </row>
    <row r="14" spans="1:6" x14ac:dyDescent="0.35">
      <c r="A14" t="s">
        <v>51</v>
      </c>
      <c r="B14">
        <v>130000</v>
      </c>
      <c r="C14">
        <v>145000</v>
      </c>
      <c r="D14" s="14">
        <f t="shared" si="0"/>
        <v>0.11538461538461539</v>
      </c>
    </row>
    <row r="15" spans="1:6" x14ac:dyDescent="0.35">
      <c r="A15" t="s">
        <v>52</v>
      </c>
      <c r="B15">
        <v>120000</v>
      </c>
      <c r="C15">
        <v>130000</v>
      </c>
      <c r="D15" s="14">
        <f t="shared" si="0"/>
        <v>8.3333333333333329E-2</v>
      </c>
    </row>
    <row r="16" spans="1:6" x14ac:dyDescent="0.35">
      <c r="A16" t="s">
        <v>53</v>
      </c>
      <c r="B16">
        <v>110000</v>
      </c>
      <c r="C16">
        <v>120000</v>
      </c>
      <c r="D16" s="14">
        <f t="shared" si="0"/>
        <v>9.0909090909090912E-2</v>
      </c>
    </row>
    <row r="17" spans="1:4" x14ac:dyDescent="0.35">
      <c r="A17" t="s">
        <v>54</v>
      </c>
      <c r="B17">
        <v>100000</v>
      </c>
      <c r="C17">
        <v>110000</v>
      </c>
      <c r="D17" s="14">
        <f t="shared" si="0"/>
        <v>0.1</v>
      </c>
    </row>
    <row r="18" spans="1:4" x14ac:dyDescent="0.35">
      <c r="A18" t="s">
        <v>55</v>
      </c>
      <c r="B18">
        <v>95000</v>
      </c>
      <c r="C18">
        <v>105000</v>
      </c>
      <c r="D18" s="14">
        <f t="shared" si="0"/>
        <v>0.10526315789473684</v>
      </c>
    </row>
    <row r="19" spans="1:4" x14ac:dyDescent="0.35">
      <c r="A19" t="s">
        <v>56</v>
      </c>
      <c r="B19">
        <v>90000</v>
      </c>
      <c r="C19">
        <v>100000</v>
      </c>
      <c r="D19" s="14">
        <f t="shared" si="0"/>
        <v>0.1111111111111111</v>
      </c>
    </row>
    <row r="20" spans="1:4" x14ac:dyDescent="0.35">
      <c r="A20" t="s">
        <v>57</v>
      </c>
      <c r="B20">
        <v>85000</v>
      </c>
      <c r="C20">
        <v>95000</v>
      </c>
      <c r="D20" s="14">
        <f t="shared" si="0"/>
        <v>0.11764705882352941</v>
      </c>
    </row>
    <row r="21" spans="1:4" x14ac:dyDescent="0.35">
      <c r="A21" t="s">
        <v>58</v>
      </c>
      <c r="B21">
        <v>80000</v>
      </c>
      <c r="C21">
        <v>90000</v>
      </c>
      <c r="D21" s="14">
        <f t="shared" si="0"/>
        <v>0.125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471E40-50C7-48D9-8857-F87D2872348B}">
  <sheetPr codeName="Sheet8"/>
  <dimension ref="A1:F21"/>
  <sheetViews>
    <sheetView zoomScale="130" zoomScaleNormal="130" workbookViewId="0">
      <selection activeCell="F3" sqref="F3"/>
    </sheetView>
  </sheetViews>
  <sheetFormatPr defaultRowHeight="14.5" x14ac:dyDescent="0.35"/>
  <cols>
    <col min="1" max="1" width="14.1796875" bestFit="1" customWidth="1"/>
    <col min="2" max="2" width="12.1796875" bestFit="1" customWidth="1"/>
    <col min="3" max="3" width="14.90625" customWidth="1"/>
    <col min="5" max="5" width="16.1796875" bestFit="1" customWidth="1"/>
  </cols>
  <sheetData>
    <row r="1" spans="1:6" x14ac:dyDescent="0.35">
      <c r="A1" t="s">
        <v>36</v>
      </c>
      <c r="B1" t="s">
        <v>37</v>
      </c>
      <c r="C1" t="s">
        <v>38</v>
      </c>
    </row>
    <row r="2" spans="1:6" x14ac:dyDescent="0.35">
      <c r="A2" t="s">
        <v>39</v>
      </c>
      <c r="B2">
        <v>500000</v>
      </c>
      <c r="C2">
        <v>550000</v>
      </c>
      <c r="E2" t="s">
        <v>61</v>
      </c>
      <c r="F2" s="14">
        <f>AVERAGE('007 - Calculate change %'!D2:D21)</f>
        <v>8.4937894922415061E-2</v>
      </c>
    </row>
    <row r="3" spans="1:6" x14ac:dyDescent="0.35">
      <c r="A3" t="s">
        <v>40</v>
      </c>
      <c r="B3">
        <v>450000</v>
      </c>
      <c r="C3">
        <v>480000</v>
      </c>
    </row>
    <row r="4" spans="1:6" x14ac:dyDescent="0.35">
      <c r="A4" t="s">
        <v>41</v>
      </c>
      <c r="B4">
        <v>300000</v>
      </c>
      <c r="C4">
        <v>320000</v>
      </c>
    </row>
    <row r="5" spans="1:6" x14ac:dyDescent="0.35">
      <c r="A5" t="s">
        <v>42</v>
      </c>
      <c r="B5">
        <v>280000</v>
      </c>
      <c r="C5">
        <v>290000</v>
      </c>
    </row>
    <row r="6" spans="1:6" x14ac:dyDescent="0.35">
      <c r="A6" t="s">
        <v>43</v>
      </c>
      <c r="B6">
        <v>260000</v>
      </c>
      <c r="C6">
        <v>270000</v>
      </c>
    </row>
    <row r="7" spans="1:6" x14ac:dyDescent="0.35">
      <c r="A7" t="s">
        <v>44</v>
      </c>
      <c r="B7">
        <v>240000</v>
      </c>
      <c r="C7">
        <v>255000</v>
      </c>
    </row>
    <row r="8" spans="1:6" x14ac:dyDescent="0.35">
      <c r="A8" t="s">
        <v>45</v>
      </c>
      <c r="B8">
        <v>200000</v>
      </c>
      <c r="C8">
        <v>220000</v>
      </c>
    </row>
    <row r="9" spans="1:6" x14ac:dyDescent="0.35">
      <c r="A9" t="s">
        <v>46</v>
      </c>
      <c r="B9">
        <v>180000</v>
      </c>
      <c r="C9">
        <v>190000</v>
      </c>
    </row>
    <row r="10" spans="1:6" x14ac:dyDescent="0.35">
      <c r="A10" t="s">
        <v>47</v>
      </c>
      <c r="B10">
        <v>170000</v>
      </c>
      <c r="C10">
        <v>185000</v>
      </c>
    </row>
    <row r="11" spans="1:6" x14ac:dyDescent="0.35">
      <c r="A11" t="s">
        <v>48</v>
      </c>
      <c r="B11">
        <v>160000</v>
      </c>
      <c r="C11">
        <v>170000</v>
      </c>
    </row>
    <row r="12" spans="1:6" x14ac:dyDescent="0.35">
      <c r="A12" t="s">
        <v>49</v>
      </c>
      <c r="B12">
        <v>150000</v>
      </c>
      <c r="C12">
        <v>160000</v>
      </c>
    </row>
    <row r="13" spans="1:6" x14ac:dyDescent="0.35">
      <c r="A13" t="s">
        <v>50</v>
      </c>
      <c r="B13">
        <v>140000</v>
      </c>
      <c r="C13">
        <v>155000</v>
      </c>
    </row>
    <row r="14" spans="1:6" x14ac:dyDescent="0.35">
      <c r="A14" t="s">
        <v>51</v>
      </c>
      <c r="B14">
        <v>130000</v>
      </c>
      <c r="C14">
        <v>145000</v>
      </c>
    </row>
    <row r="15" spans="1:6" x14ac:dyDescent="0.35">
      <c r="A15" t="s">
        <v>52</v>
      </c>
      <c r="B15">
        <v>120000</v>
      </c>
      <c r="C15">
        <v>130000</v>
      </c>
    </row>
    <row r="16" spans="1:6" x14ac:dyDescent="0.35">
      <c r="A16" t="s">
        <v>53</v>
      </c>
      <c r="B16">
        <v>110000</v>
      </c>
      <c r="C16">
        <v>120000</v>
      </c>
    </row>
    <row r="17" spans="1:3" x14ac:dyDescent="0.35">
      <c r="A17" t="s">
        <v>54</v>
      </c>
      <c r="B17">
        <v>100000</v>
      </c>
      <c r="C17">
        <v>110000</v>
      </c>
    </row>
    <row r="18" spans="1:3" x14ac:dyDescent="0.35">
      <c r="A18" t="s">
        <v>55</v>
      </c>
      <c r="B18">
        <v>95000</v>
      </c>
      <c r="C18">
        <v>105000</v>
      </c>
    </row>
    <row r="19" spans="1:3" x14ac:dyDescent="0.35">
      <c r="A19" t="s">
        <v>56</v>
      </c>
      <c r="B19">
        <v>90000</v>
      </c>
      <c r="C19">
        <v>100000</v>
      </c>
    </row>
    <row r="20" spans="1:3" x14ac:dyDescent="0.35">
      <c r="A20" t="s">
        <v>57</v>
      </c>
      <c r="B20">
        <v>85000</v>
      </c>
      <c r="C20">
        <v>95000</v>
      </c>
    </row>
    <row r="21" spans="1:3" x14ac:dyDescent="0.35">
      <c r="A21" t="s">
        <v>58</v>
      </c>
      <c r="B21">
        <v>80000</v>
      </c>
      <c r="C21">
        <v>90000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3828FC-2C54-40DC-A593-9949D9DCF6B3}">
  <sheetPr codeName="Sheet9"/>
  <dimension ref="A1:E21"/>
  <sheetViews>
    <sheetView zoomScale="130" zoomScaleNormal="130" workbookViewId="0">
      <selection activeCell="A2" sqref="A2"/>
    </sheetView>
  </sheetViews>
  <sheetFormatPr defaultRowHeight="14.5" x14ac:dyDescent="0.35"/>
  <cols>
    <col min="1" max="1" width="18.1796875" customWidth="1"/>
    <col min="2" max="2" width="12.1796875" bestFit="1" customWidth="1"/>
    <col min="3" max="3" width="14.90625" customWidth="1"/>
    <col min="5" max="5" width="16.1796875" bestFit="1" customWidth="1"/>
  </cols>
  <sheetData>
    <row r="1" spans="1:5" x14ac:dyDescent="0.35">
      <c r="A1" t="s">
        <v>36</v>
      </c>
      <c r="B1" t="s">
        <v>37</v>
      </c>
      <c r="C1" t="s">
        <v>38</v>
      </c>
      <c r="E1" t="s">
        <v>207</v>
      </c>
    </row>
    <row r="2" spans="1:5" x14ac:dyDescent="0.35">
      <c r="A2" t="s">
        <v>48</v>
      </c>
      <c r="B2">
        <v>160000</v>
      </c>
      <c r="C2">
        <v>170000</v>
      </c>
    </row>
    <row r="3" spans="1:5" x14ac:dyDescent="0.35">
      <c r="A3" t="s">
        <v>46</v>
      </c>
      <c r="B3">
        <v>180000</v>
      </c>
      <c r="C3">
        <v>190000</v>
      </c>
    </row>
    <row r="4" spans="1:5" x14ac:dyDescent="0.35">
      <c r="A4" t="s">
        <v>47</v>
      </c>
      <c r="B4">
        <v>170000</v>
      </c>
      <c r="C4">
        <v>185000</v>
      </c>
    </row>
    <row r="5" spans="1:5" x14ac:dyDescent="0.35">
      <c r="A5" t="s">
        <v>40</v>
      </c>
      <c r="B5">
        <v>450000</v>
      </c>
      <c r="C5">
        <v>480000</v>
      </c>
    </row>
    <row r="6" spans="1:5" x14ac:dyDescent="0.35">
      <c r="A6" t="s">
        <v>44</v>
      </c>
      <c r="B6">
        <v>240000</v>
      </c>
      <c r="C6">
        <v>255000</v>
      </c>
    </row>
    <row r="7" spans="1:5" x14ac:dyDescent="0.35">
      <c r="A7" t="s">
        <v>42</v>
      </c>
      <c r="B7">
        <v>280000</v>
      </c>
      <c r="C7">
        <v>290000</v>
      </c>
    </row>
    <row r="8" spans="1:5" x14ac:dyDescent="0.35">
      <c r="A8" t="s">
        <v>45</v>
      </c>
      <c r="B8">
        <v>200000</v>
      </c>
      <c r="C8">
        <v>220000</v>
      </c>
    </row>
    <row r="9" spans="1:5" x14ac:dyDescent="0.35">
      <c r="A9" t="s">
        <v>50</v>
      </c>
      <c r="B9">
        <v>140000</v>
      </c>
      <c r="C9">
        <v>155000</v>
      </c>
    </row>
    <row r="10" spans="1:5" x14ac:dyDescent="0.35">
      <c r="A10" t="s">
        <v>41</v>
      </c>
      <c r="B10">
        <v>300000</v>
      </c>
      <c r="C10">
        <v>320000</v>
      </c>
    </row>
    <row r="11" spans="1:5" x14ac:dyDescent="0.35">
      <c r="A11" t="s">
        <v>52</v>
      </c>
      <c r="B11">
        <v>120000</v>
      </c>
      <c r="C11">
        <v>130000</v>
      </c>
    </row>
    <row r="12" spans="1:5" x14ac:dyDescent="0.35">
      <c r="A12" t="s">
        <v>53</v>
      </c>
      <c r="B12">
        <v>110000</v>
      </c>
      <c r="C12">
        <v>120000</v>
      </c>
    </row>
    <row r="13" spans="1:5" x14ac:dyDescent="0.35">
      <c r="A13" t="s">
        <v>56</v>
      </c>
      <c r="B13">
        <v>90000</v>
      </c>
      <c r="C13">
        <v>100000</v>
      </c>
    </row>
    <row r="14" spans="1:5" x14ac:dyDescent="0.35">
      <c r="A14" t="s">
        <v>58</v>
      </c>
      <c r="B14">
        <v>80000</v>
      </c>
      <c r="C14">
        <v>90000</v>
      </c>
    </row>
    <row r="15" spans="1:5" x14ac:dyDescent="0.35">
      <c r="A15" t="s">
        <v>49</v>
      </c>
      <c r="B15">
        <v>150000</v>
      </c>
      <c r="C15">
        <v>160000</v>
      </c>
    </row>
    <row r="16" spans="1:5" x14ac:dyDescent="0.35">
      <c r="A16" t="s">
        <v>51</v>
      </c>
      <c r="B16">
        <v>130000</v>
      </c>
      <c r="C16">
        <v>145000</v>
      </c>
    </row>
    <row r="17" spans="1:3" x14ac:dyDescent="0.35">
      <c r="A17" t="s">
        <v>57</v>
      </c>
      <c r="B17">
        <v>85000</v>
      </c>
      <c r="C17">
        <v>95000</v>
      </c>
    </row>
    <row r="18" spans="1:3" x14ac:dyDescent="0.35">
      <c r="A18" t="s">
        <v>55</v>
      </c>
      <c r="B18">
        <v>95000</v>
      </c>
      <c r="C18">
        <v>105000</v>
      </c>
    </row>
    <row r="19" spans="1:3" x14ac:dyDescent="0.35">
      <c r="A19" t="s">
        <v>54</v>
      </c>
      <c r="B19">
        <v>100000</v>
      </c>
      <c r="C19">
        <v>110000</v>
      </c>
    </row>
    <row r="20" spans="1:3" x14ac:dyDescent="0.35">
      <c r="A20" t="s">
        <v>43</v>
      </c>
      <c r="B20">
        <v>260000</v>
      </c>
      <c r="C20">
        <v>270000</v>
      </c>
    </row>
    <row r="21" spans="1:3" x14ac:dyDescent="0.35">
      <c r="A21" t="s">
        <v>39</v>
      </c>
      <c r="B21">
        <v>500000</v>
      </c>
      <c r="C21">
        <v>550000</v>
      </c>
    </row>
  </sheetData>
  <sortState xmlns:xlrd2="http://schemas.microsoft.com/office/spreadsheetml/2017/richdata2" ref="A2:C21">
    <sortCondition ref="A2:A21"/>
  </sortState>
  <pageMargins left="0.7" right="0.7" top="0.75" bottom="0.75" header="0.3" footer="0.3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15C87A-E070-4445-A2E1-91DFC32D2A77}">
  <sheetPr codeName="Sheet10"/>
  <dimension ref="A1:F21"/>
  <sheetViews>
    <sheetView zoomScale="130" zoomScaleNormal="130" workbookViewId="0">
      <selection activeCell="F7" sqref="F7"/>
    </sheetView>
  </sheetViews>
  <sheetFormatPr defaultRowHeight="14.5" x14ac:dyDescent="0.35"/>
  <cols>
    <col min="1" max="1" width="14.1796875" bestFit="1" customWidth="1"/>
    <col min="2" max="2" width="12.1796875" bestFit="1" customWidth="1"/>
    <col min="3" max="3" width="14.90625" customWidth="1"/>
    <col min="5" max="5" width="16.1796875" bestFit="1" customWidth="1"/>
  </cols>
  <sheetData>
    <row r="1" spans="1:6" x14ac:dyDescent="0.35">
      <c r="A1" t="s">
        <v>36</v>
      </c>
      <c r="B1" t="s">
        <v>37</v>
      </c>
      <c r="C1" t="s">
        <v>38</v>
      </c>
      <c r="F1" t="s">
        <v>62</v>
      </c>
    </row>
    <row r="2" spans="1:6" x14ac:dyDescent="0.35">
      <c r="A2" t="s">
        <v>39</v>
      </c>
      <c r="B2">
        <v>500000</v>
      </c>
      <c r="C2">
        <v>550000</v>
      </c>
      <c r="D2" s="2" t="str">
        <f>IF((C2-B2)/B2&lt;=7%,"Stable","Growth")</f>
        <v>Growth</v>
      </c>
    </row>
    <row r="3" spans="1:6" x14ac:dyDescent="0.35">
      <c r="A3" t="s">
        <v>40</v>
      </c>
      <c r="B3">
        <v>450000</v>
      </c>
      <c r="C3">
        <v>480000</v>
      </c>
      <c r="D3" s="2" t="str">
        <f t="shared" ref="D3:D21" si="0">IF((C3-B3)/B3&lt;=7%,"Stable","Growth")</f>
        <v>Stable</v>
      </c>
      <c r="F3" t="s">
        <v>208</v>
      </c>
    </row>
    <row r="4" spans="1:6" x14ac:dyDescent="0.35">
      <c r="A4" t="s">
        <v>41</v>
      </c>
      <c r="B4">
        <v>300000</v>
      </c>
      <c r="C4">
        <v>320000</v>
      </c>
      <c r="D4" s="2" t="str">
        <f t="shared" si="0"/>
        <v>Stable</v>
      </c>
    </row>
    <row r="5" spans="1:6" x14ac:dyDescent="0.35">
      <c r="A5" t="s">
        <v>42</v>
      </c>
      <c r="B5">
        <v>280000</v>
      </c>
      <c r="C5">
        <v>290000</v>
      </c>
      <c r="D5" s="2" t="str">
        <f t="shared" si="0"/>
        <v>Stable</v>
      </c>
    </row>
    <row r="6" spans="1:6" x14ac:dyDescent="0.35">
      <c r="A6" t="s">
        <v>43</v>
      </c>
      <c r="B6">
        <v>260000</v>
      </c>
      <c r="C6">
        <v>270000</v>
      </c>
      <c r="D6" s="2" t="str">
        <f t="shared" si="0"/>
        <v>Stable</v>
      </c>
    </row>
    <row r="7" spans="1:6" x14ac:dyDescent="0.35">
      <c r="A7" t="s">
        <v>44</v>
      </c>
      <c r="B7">
        <v>240000</v>
      </c>
      <c r="C7">
        <v>255000</v>
      </c>
      <c r="D7" s="2" t="str">
        <f t="shared" si="0"/>
        <v>Stable</v>
      </c>
    </row>
    <row r="8" spans="1:6" x14ac:dyDescent="0.35">
      <c r="A8" t="s">
        <v>45</v>
      </c>
      <c r="B8">
        <v>200000</v>
      </c>
      <c r="C8">
        <v>220000</v>
      </c>
      <c r="D8" s="2" t="str">
        <f t="shared" si="0"/>
        <v>Growth</v>
      </c>
    </row>
    <row r="9" spans="1:6" x14ac:dyDescent="0.35">
      <c r="A9" t="s">
        <v>46</v>
      </c>
      <c r="B9">
        <v>180000</v>
      </c>
      <c r="C9">
        <v>190000</v>
      </c>
      <c r="D9" s="2" t="str">
        <f t="shared" si="0"/>
        <v>Stable</v>
      </c>
    </row>
    <row r="10" spans="1:6" x14ac:dyDescent="0.35">
      <c r="A10" t="s">
        <v>47</v>
      </c>
      <c r="B10">
        <v>170000</v>
      </c>
      <c r="C10">
        <v>185000</v>
      </c>
      <c r="D10" s="2" t="str">
        <f t="shared" si="0"/>
        <v>Growth</v>
      </c>
    </row>
    <row r="11" spans="1:6" x14ac:dyDescent="0.35">
      <c r="A11" t="s">
        <v>48</v>
      </c>
      <c r="B11">
        <v>160000</v>
      </c>
      <c r="C11">
        <v>170000</v>
      </c>
      <c r="D11" s="2" t="str">
        <f t="shared" si="0"/>
        <v>Stable</v>
      </c>
    </row>
    <row r="12" spans="1:6" x14ac:dyDescent="0.35">
      <c r="A12" t="s">
        <v>49</v>
      </c>
      <c r="B12">
        <v>150000</v>
      </c>
      <c r="C12">
        <v>160000</v>
      </c>
      <c r="D12" s="2" t="str">
        <f t="shared" si="0"/>
        <v>Stable</v>
      </c>
    </row>
    <row r="13" spans="1:6" x14ac:dyDescent="0.35">
      <c r="A13" t="s">
        <v>50</v>
      </c>
      <c r="B13">
        <v>140000</v>
      </c>
      <c r="C13">
        <v>155000</v>
      </c>
      <c r="D13" s="2" t="str">
        <f t="shared" si="0"/>
        <v>Growth</v>
      </c>
    </row>
    <row r="14" spans="1:6" x14ac:dyDescent="0.35">
      <c r="A14" t="s">
        <v>51</v>
      </c>
      <c r="B14">
        <v>130000</v>
      </c>
      <c r="C14">
        <v>145000</v>
      </c>
      <c r="D14" s="2" t="str">
        <f t="shared" si="0"/>
        <v>Growth</v>
      </c>
    </row>
    <row r="15" spans="1:6" x14ac:dyDescent="0.35">
      <c r="A15" t="s">
        <v>52</v>
      </c>
      <c r="B15">
        <v>120000</v>
      </c>
      <c r="C15">
        <v>130000</v>
      </c>
      <c r="D15" s="2" t="str">
        <f t="shared" si="0"/>
        <v>Growth</v>
      </c>
    </row>
    <row r="16" spans="1:6" x14ac:dyDescent="0.35">
      <c r="A16" t="s">
        <v>53</v>
      </c>
      <c r="B16">
        <v>110000</v>
      </c>
      <c r="C16">
        <v>120000</v>
      </c>
      <c r="D16" s="2" t="str">
        <f t="shared" si="0"/>
        <v>Growth</v>
      </c>
    </row>
    <row r="17" spans="1:4" x14ac:dyDescent="0.35">
      <c r="A17" t="s">
        <v>54</v>
      </c>
      <c r="B17">
        <v>100000</v>
      </c>
      <c r="C17">
        <v>110000</v>
      </c>
      <c r="D17" s="2" t="str">
        <f t="shared" si="0"/>
        <v>Growth</v>
      </c>
    </row>
    <row r="18" spans="1:4" x14ac:dyDescent="0.35">
      <c r="A18" t="s">
        <v>55</v>
      </c>
      <c r="B18">
        <v>95000</v>
      </c>
      <c r="C18">
        <v>105000</v>
      </c>
      <c r="D18" s="2" t="str">
        <f t="shared" si="0"/>
        <v>Growth</v>
      </c>
    </row>
    <row r="19" spans="1:4" x14ac:dyDescent="0.35">
      <c r="A19" t="s">
        <v>56</v>
      </c>
      <c r="B19">
        <v>90000</v>
      </c>
      <c r="C19">
        <v>100000</v>
      </c>
      <c r="D19" s="2" t="str">
        <f t="shared" si="0"/>
        <v>Growth</v>
      </c>
    </row>
    <row r="20" spans="1:4" x14ac:dyDescent="0.35">
      <c r="A20" t="s">
        <v>57</v>
      </c>
      <c r="B20">
        <v>85000</v>
      </c>
      <c r="C20">
        <v>95000</v>
      </c>
      <c r="D20" s="2" t="str">
        <f t="shared" si="0"/>
        <v>Growth</v>
      </c>
    </row>
    <row r="21" spans="1:4" x14ac:dyDescent="0.35">
      <c r="A21" t="s">
        <v>58</v>
      </c>
      <c r="B21">
        <v>80000</v>
      </c>
      <c r="C21">
        <v>90000</v>
      </c>
      <c r="D21" s="2" t="str">
        <f t="shared" si="0"/>
        <v>Growth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2F671D-D7A1-49F5-8D99-FE1F8F1D2C10}">
  <sheetPr codeName="Sheet11"/>
  <dimension ref="A1:F21"/>
  <sheetViews>
    <sheetView zoomScale="130" zoomScaleNormal="130" workbookViewId="0">
      <selection activeCell="C7" sqref="C7"/>
    </sheetView>
  </sheetViews>
  <sheetFormatPr defaultRowHeight="14.5" x14ac:dyDescent="0.35"/>
  <cols>
    <col min="1" max="1" width="14.1796875" bestFit="1" customWidth="1"/>
    <col min="2" max="2" width="12.1796875" bestFit="1" customWidth="1"/>
    <col min="3" max="3" width="14.90625" customWidth="1"/>
    <col min="5" max="5" width="16.1796875" bestFit="1" customWidth="1"/>
  </cols>
  <sheetData>
    <row r="1" spans="1:6" x14ac:dyDescent="0.35">
      <c r="A1" t="s">
        <v>36</v>
      </c>
      <c r="B1" t="s">
        <v>37</v>
      </c>
      <c r="C1" t="s">
        <v>38</v>
      </c>
      <c r="D1" t="s">
        <v>65</v>
      </c>
      <c r="F1" t="s">
        <v>209</v>
      </c>
    </row>
    <row r="2" spans="1:6" x14ac:dyDescent="0.35">
      <c r="A2" t="s">
        <v>47</v>
      </c>
      <c r="B2">
        <v>170000</v>
      </c>
      <c r="C2">
        <v>185000</v>
      </c>
      <c r="D2" t="s">
        <v>63</v>
      </c>
    </row>
    <row r="3" spans="1:6" x14ac:dyDescent="0.35">
      <c r="A3" t="s">
        <v>45</v>
      </c>
      <c r="B3">
        <v>200000</v>
      </c>
      <c r="C3">
        <v>220000</v>
      </c>
      <c r="D3" t="s">
        <v>63</v>
      </c>
    </row>
    <row r="4" spans="1:6" x14ac:dyDescent="0.35">
      <c r="A4" t="s">
        <v>50</v>
      </c>
      <c r="B4">
        <v>140000</v>
      </c>
      <c r="C4">
        <v>155000</v>
      </c>
      <c r="D4" t="s">
        <v>63</v>
      </c>
    </row>
    <row r="5" spans="1:6" x14ac:dyDescent="0.35">
      <c r="A5" t="s">
        <v>52</v>
      </c>
      <c r="B5">
        <v>120000</v>
      </c>
      <c r="C5">
        <v>130000</v>
      </c>
      <c r="D5" t="s">
        <v>63</v>
      </c>
    </row>
    <row r="6" spans="1:6" x14ac:dyDescent="0.35">
      <c r="A6" t="s">
        <v>53</v>
      </c>
      <c r="B6">
        <v>110000</v>
      </c>
      <c r="C6">
        <v>120000</v>
      </c>
      <c r="D6" t="s">
        <v>63</v>
      </c>
    </row>
    <row r="7" spans="1:6" x14ac:dyDescent="0.35">
      <c r="A7" t="s">
        <v>56</v>
      </c>
      <c r="B7">
        <v>90000</v>
      </c>
      <c r="C7">
        <v>100000</v>
      </c>
      <c r="D7" t="s">
        <v>63</v>
      </c>
    </row>
    <row r="8" spans="1:6" x14ac:dyDescent="0.35">
      <c r="A8" t="s">
        <v>58</v>
      </c>
      <c r="B8">
        <v>80000</v>
      </c>
      <c r="C8">
        <v>90000</v>
      </c>
      <c r="D8" t="s">
        <v>63</v>
      </c>
    </row>
    <row r="9" spans="1:6" x14ac:dyDescent="0.35">
      <c r="A9" t="s">
        <v>51</v>
      </c>
      <c r="B9">
        <v>130000</v>
      </c>
      <c r="C9">
        <v>145000</v>
      </c>
      <c r="D9" t="s">
        <v>63</v>
      </c>
    </row>
    <row r="10" spans="1:6" x14ac:dyDescent="0.35">
      <c r="A10" t="s">
        <v>57</v>
      </c>
      <c r="B10">
        <v>85000</v>
      </c>
      <c r="C10">
        <v>95000</v>
      </c>
      <c r="D10" t="s">
        <v>63</v>
      </c>
    </row>
    <row r="11" spans="1:6" x14ac:dyDescent="0.35">
      <c r="A11" t="s">
        <v>55</v>
      </c>
      <c r="B11">
        <v>95000</v>
      </c>
      <c r="C11">
        <v>105000</v>
      </c>
      <c r="D11" t="s">
        <v>63</v>
      </c>
    </row>
    <row r="12" spans="1:6" x14ac:dyDescent="0.35">
      <c r="A12" t="s">
        <v>54</v>
      </c>
      <c r="B12">
        <v>100000</v>
      </c>
      <c r="C12">
        <v>110000</v>
      </c>
      <c r="D12" t="s">
        <v>63</v>
      </c>
    </row>
    <row r="13" spans="1:6" x14ac:dyDescent="0.35">
      <c r="A13" t="s">
        <v>39</v>
      </c>
      <c r="B13">
        <v>500000</v>
      </c>
      <c r="C13">
        <v>550000</v>
      </c>
      <c r="D13" t="s">
        <v>63</v>
      </c>
    </row>
    <row r="14" spans="1:6" x14ac:dyDescent="0.35">
      <c r="A14" t="s">
        <v>48</v>
      </c>
      <c r="B14">
        <v>160000</v>
      </c>
      <c r="C14">
        <v>170000</v>
      </c>
      <c r="D14" t="s">
        <v>64</v>
      </c>
    </row>
    <row r="15" spans="1:6" x14ac:dyDescent="0.35">
      <c r="A15" t="s">
        <v>46</v>
      </c>
      <c r="B15">
        <v>180000</v>
      </c>
      <c r="C15">
        <v>190000</v>
      </c>
      <c r="D15" t="s">
        <v>64</v>
      </c>
    </row>
    <row r="16" spans="1:6" x14ac:dyDescent="0.35">
      <c r="A16" t="s">
        <v>40</v>
      </c>
      <c r="B16">
        <v>450000</v>
      </c>
      <c r="C16">
        <v>480000</v>
      </c>
      <c r="D16" t="s">
        <v>64</v>
      </c>
    </row>
    <row r="17" spans="1:4" x14ac:dyDescent="0.35">
      <c r="A17" t="s">
        <v>44</v>
      </c>
      <c r="B17">
        <v>240000</v>
      </c>
      <c r="C17">
        <v>255000</v>
      </c>
      <c r="D17" t="s">
        <v>64</v>
      </c>
    </row>
    <row r="18" spans="1:4" x14ac:dyDescent="0.35">
      <c r="A18" t="s">
        <v>42</v>
      </c>
      <c r="B18">
        <v>280000</v>
      </c>
      <c r="C18">
        <v>290000</v>
      </c>
      <c r="D18" t="s">
        <v>64</v>
      </c>
    </row>
    <row r="19" spans="1:4" x14ac:dyDescent="0.35">
      <c r="A19" t="s">
        <v>41</v>
      </c>
      <c r="B19">
        <v>300000</v>
      </c>
      <c r="C19">
        <v>320000</v>
      </c>
      <c r="D19" t="s">
        <v>64</v>
      </c>
    </row>
    <row r="20" spans="1:4" x14ac:dyDescent="0.35">
      <c r="A20" t="s">
        <v>49</v>
      </c>
      <c r="B20">
        <v>150000</v>
      </c>
      <c r="C20">
        <v>160000</v>
      </c>
      <c r="D20" t="s">
        <v>64</v>
      </c>
    </row>
    <row r="21" spans="1:4" x14ac:dyDescent="0.35">
      <c r="A21" t="s">
        <v>43</v>
      </c>
      <c r="B21">
        <v>260000</v>
      </c>
      <c r="C21">
        <v>270000</v>
      </c>
      <c r="D21" t="s">
        <v>64</v>
      </c>
    </row>
  </sheetData>
  <sortState xmlns:xlrd2="http://schemas.microsoft.com/office/spreadsheetml/2017/richdata2" ref="A2:D21">
    <sortCondition ref="D2:D21"/>
    <sortCondition ref="A2:A21"/>
  </sortState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22EB81-D4BE-4C27-BB11-68AC62876698}">
  <sheetPr codeName="Sheet12"/>
  <dimension ref="A1:F21"/>
  <sheetViews>
    <sheetView zoomScale="130" zoomScaleNormal="130" workbookViewId="0">
      <selection activeCell="E9" sqref="E9"/>
    </sheetView>
  </sheetViews>
  <sheetFormatPr defaultRowHeight="14.5" x14ac:dyDescent="0.35"/>
  <cols>
    <col min="1" max="1" width="14.1796875" bestFit="1" customWidth="1"/>
    <col min="2" max="2" width="12.1796875" bestFit="1" customWidth="1"/>
    <col min="3" max="3" width="12.36328125" bestFit="1" customWidth="1"/>
    <col min="5" max="5" width="16.1796875" bestFit="1" customWidth="1"/>
  </cols>
  <sheetData>
    <row r="1" spans="1:6" x14ac:dyDescent="0.35">
      <c r="A1" t="s">
        <v>36</v>
      </c>
      <c r="B1" t="s">
        <v>37</v>
      </c>
      <c r="C1" t="s">
        <v>38</v>
      </c>
      <c r="D1" t="s">
        <v>65</v>
      </c>
      <c r="F1" t="s">
        <v>210</v>
      </c>
    </row>
    <row r="2" spans="1:6" x14ac:dyDescent="0.35">
      <c r="A2" t="s">
        <v>39</v>
      </c>
      <c r="B2">
        <v>500000</v>
      </c>
      <c r="C2">
        <v>550000</v>
      </c>
      <c r="D2" t="s">
        <v>63</v>
      </c>
    </row>
    <row r="3" spans="1:6" x14ac:dyDescent="0.35">
      <c r="A3" t="s">
        <v>40</v>
      </c>
      <c r="B3">
        <v>450000</v>
      </c>
      <c r="C3">
        <v>480000</v>
      </c>
      <c r="D3" t="s">
        <v>64</v>
      </c>
    </row>
    <row r="4" spans="1:6" x14ac:dyDescent="0.35">
      <c r="A4" t="s">
        <v>41</v>
      </c>
      <c r="B4">
        <v>300000</v>
      </c>
      <c r="C4">
        <v>320000</v>
      </c>
      <c r="D4" t="s">
        <v>64</v>
      </c>
    </row>
    <row r="5" spans="1:6" x14ac:dyDescent="0.35">
      <c r="A5" t="s">
        <v>42</v>
      </c>
      <c r="B5">
        <v>280000</v>
      </c>
      <c r="C5">
        <v>290000</v>
      </c>
      <c r="D5" t="s">
        <v>64</v>
      </c>
    </row>
    <row r="6" spans="1:6" x14ac:dyDescent="0.35">
      <c r="A6" t="s">
        <v>43</v>
      </c>
      <c r="B6">
        <v>260000</v>
      </c>
      <c r="C6">
        <v>270000</v>
      </c>
      <c r="D6" t="s">
        <v>64</v>
      </c>
    </row>
    <row r="7" spans="1:6" x14ac:dyDescent="0.35">
      <c r="A7" t="s">
        <v>44</v>
      </c>
      <c r="B7">
        <v>240000</v>
      </c>
      <c r="C7">
        <v>255000</v>
      </c>
      <c r="D7" t="s">
        <v>64</v>
      </c>
    </row>
    <row r="8" spans="1:6" x14ac:dyDescent="0.35">
      <c r="A8" t="s">
        <v>45</v>
      </c>
      <c r="B8">
        <v>200000</v>
      </c>
      <c r="C8">
        <v>220000</v>
      </c>
      <c r="D8" t="s">
        <v>63</v>
      </c>
    </row>
    <row r="9" spans="1:6" x14ac:dyDescent="0.35">
      <c r="A9" t="s">
        <v>46</v>
      </c>
      <c r="B9">
        <v>180000</v>
      </c>
      <c r="C9">
        <v>190000</v>
      </c>
      <c r="D9" t="s">
        <v>64</v>
      </c>
    </row>
    <row r="10" spans="1:6" x14ac:dyDescent="0.35">
      <c r="A10" t="s">
        <v>47</v>
      </c>
      <c r="B10">
        <v>170000</v>
      </c>
      <c r="C10">
        <v>185000</v>
      </c>
      <c r="D10" t="s">
        <v>63</v>
      </c>
    </row>
    <row r="11" spans="1:6" x14ac:dyDescent="0.35">
      <c r="A11" t="s">
        <v>48</v>
      </c>
      <c r="B11">
        <v>160000</v>
      </c>
      <c r="C11">
        <v>170000</v>
      </c>
      <c r="D11" t="s">
        <v>64</v>
      </c>
    </row>
    <row r="12" spans="1:6" x14ac:dyDescent="0.35">
      <c r="A12" t="s">
        <v>49</v>
      </c>
      <c r="B12">
        <v>150000</v>
      </c>
      <c r="C12">
        <v>160000</v>
      </c>
      <c r="D12" t="s">
        <v>64</v>
      </c>
    </row>
    <row r="13" spans="1:6" x14ac:dyDescent="0.35">
      <c r="A13" t="s">
        <v>50</v>
      </c>
      <c r="B13">
        <v>140000</v>
      </c>
      <c r="C13">
        <v>155000</v>
      </c>
      <c r="D13" t="s">
        <v>63</v>
      </c>
    </row>
    <row r="14" spans="1:6" x14ac:dyDescent="0.35">
      <c r="A14" t="s">
        <v>51</v>
      </c>
      <c r="B14">
        <v>130000</v>
      </c>
      <c r="C14">
        <v>145000</v>
      </c>
      <c r="D14" t="s">
        <v>63</v>
      </c>
    </row>
    <row r="15" spans="1:6" x14ac:dyDescent="0.35">
      <c r="A15" t="s">
        <v>52</v>
      </c>
      <c r="B15">
        <v>120000</v>
      </c>
      <c r="C15">
        <v>130000</v>
      </c>
      <c r="D15" t="s">
        <v>63</v>
      </c>
    </row>
    <row r="16" spans="1:6" x14ac:dyDescent="0.35">
      <c r="A16" t="s">
        <v>53</v>
      </c>
      <c r="B16">
        <v>110000</v>
      </c>
      <c r="C16">
        <v>120000</v>
      </c>
      <c r="D16" t="s">
        <v>63</v>
      </c>
    </row>
    <row r="17" spans="1:4" x14ac:dyDescent="0.35">
      <c r="A17" t="s">
        <v>54</v>
      </c>
      <c r="B17">
        <v>100000</v>
      </c>
      <c r="C17">
        <v>110000</v>
      </c>
      <c r="D17" t="s">
        <v>63</v>
      </c>
    </row>
    <row r="18" spans="1:4" x14ac:dyDescent="0.35">
      <c r="A18" t="s">
        <v>55</v>
      </c>
      <c r="B18">
        <v>95000</v>
      </c>
      <c r="C18">
        <v>105000</v>
      </c>
      <c r="D18" t="s">
        <v>63</v>
      </c>
    </row>
    <row r="19" spans="1:4" x14ac:dyDescent="0.35">
      <c r="A19" t="s">
        <v>56</v>
      </c>
      <c r="B19">
        <v>90000</v>
      </c>
      <c r="C19">
        <v>100000</v>
      </c>
      <c r="D19" t="s">
        <v>63</v>
      </c>
    </row>
    <row r="20" spans="1:4" x14ac:dyDescent="0.35">
      <c r="A20" t="s">
        <v>57</v>
      </c>
      <c r="B20">
        <v>85000</v>
      </c>
      <c r="C20">
        <v>95000</v>
      </c>
      <c r="D20" t="s">
        <v>63</v>
      </c>
    </row>
    <row r="21" spans="1:4" x14ac:dyDescent="0.35">
      <c r="A21" t="s">
        <v>58</v>
      </c>
      <c r="B21">
        <v>80000</v>
      </c>
      <c r="C21">
        <v>90000</v>
      </c>
      <c r="D21" t="s">
        <v>63</v>
      </c>
    </row>
  </sheetData>
  <conditionalFormatting sqref="D2:D21">
    <cfRule type="cellIs" dxfId="3" priority="2" operator="equal">
      <formula>"Growth"</formula>
    </cfRule>
    <cfRule type="cellIs" dxfId="2" priority="1" operator="equal">
      <formula>"Stable"</formula>
    </cfRule>
  </conditionalFormatting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5DF148-A830-488F-9659-F45B8DA68187}">
  <dimension ref="A1:F21"/>
  <sheetViews>
    <sheetView zoomScale="130" zoomScaleNormal="130" workbookViewId="0">
      <selection activeCell="A2" sqref="A2:D21"/>
    </sheetView>
  </sheetViews>
  <sheetFormatPr defaultRowHeight="14.5" x14ac:dyDescent="0.35"/>
  <cols>
    <col min="1" max="1" width="14.1796875" bestFit="1" customWidth="1"/>
    <col min="2" max="2" width="12.1796875" bestFit="1" customWidth="1"/>
    <col min="3" max="3" width="12.36328125" bestFit="1" customWidth="1"/>
    <col min="5" max="5" width="16.1796875" bestFit="1" customWidth="1"/>
  </cols>
  <sheetData>
    <row r="1" spans="1:6" x14ac:dyDescent="0.35">
      <c r="A1" t="s">
        <v>36</v>
      </c>
      <c r="B1" t="s">
        <v>37</v>
      </c>
      <c r="C1" t="s">
        <v>38</v>
      </c>
      <c r="D1" t="s">
        <v>65</v>
      </c>
      <c r="F1" t="s">
        <v>210</v>
      </c>
    </row>
    <row r="2" spans="1:6" x14ac:dyDescent="0.35">
      <c r="A2" t="s">
        <v>39</v>
      </c>
      <c r="B2">
        <v>500000</v>
      </c>
      <c r="C2">
        <v>550000</v>
      </c>
      <c r="D2" t="s">
        <v>63</v>
      </c>
    </row>
    <row r="3" spans="1:6" x14ac:dyDescent="0.35">
      <c r="A3" t="s">
        <v>40</v>
      </c>
      <c r="B3">
        <v>450000</v>
      </c>
      <c r="C3">
        <v>480000</v>
      </c>
      <c r="D3" t="s">
        <v>64</v>
      </c>
    </row>
    <row r="4" spans="1:6" x14ac:dyDescent="0.35">
      <c r="A4" t="s">
        <v>41</v>
      </c>
      <c r="B4">
        <v>300000</v>
      </c>
      <c r="C4">
        <v>320000</v>
      </c>
      <c r="D4" t="s">
        <v>64</v>
      </c>
    </row>
    <row r="5" spans="1:6" x14ac:dyDescent="0.35">
      <c r="A5" t="s">
        <v>42</v>
      </c>
      <c r="B5">
        <v>280000</v>
      </c>
      <c r="C5">
        <v>290000</v>
      </c>
      <c r="D5" t="s">
        <v>64</v>
      </c>
    </row>
    <row r="6" spans="1:6" x14ac:dyDescent="0.35">
      <c r="A6" t="s">
        <v>43</v>
      </c>
      <c r="B6">
        <v>260000</v>
      </c>
      <c r="C6">
        <v>270000</v>
      </c>
      <c r="D6" t="s">
        <v>64</v>
      </c>
    </row>
    <row r="7" spans="1:6" x14ac:dyDescent="0.35">
      <c r="A7" t="s">
        <v>44</v>
      </c>
      <c r="B7">
        <v>240000</v>
      </c>
      <c r="C7">
        <v>255000</v>
      </c>
      <c r="D7" t="s">
        <v>64</v>
      </c>
    </row>
    <row r="8" spans="1:6" x14ac:dyDescent="0.35">
      <c r="A8" t="s">
        <v>45</v>
      </c>
      <c r="B8">
        <v>200000</v>
      </c>
      <c r="C8">
        <v>220000</v>
      </c>
      <c r="D8" t="s">
        <v>63</v>
      </c>
    </row>
    <row r="9" spans="1:6" x14ac:dyDescent="0.35">
      <c r="A9" t="s">
        <v>46</v>
      </c>
      <c r="B9">
        <v>180000</v>
      </c>
      <c r="C9">
        <v>190000</v>
      </c>
      <c r="D9" t="s">
        <v>64</v>
      </c>
    </row>
    <row r="10" spans="1:6" x14ac:dyDescent="0.35">
      <c r="A10" t="s">
        <v>47</v>
      </c>
      <c r="B10">
        <v>170000</v>
      </c>
      <c r="C10">
        <v>185000</v>
      </c>
      <c r="D10" t="s">
        <v>63</v>
      </c>
    </row>
    <row r="11" spans="1:6" x14ac:dyDescent="0.35">
      <c r="A11" t="s">
        <v>48</v>
      </c>
      <c r="B11">
        <v>160000</v>
      </c>
      <c r="C11">
        <v>170000</v>
      </c>
      <c r="D11" t="s">
        <v>64</v>
      </c>
    </row>
    <row r="12" spans="1:6" x14ac:dyDescent="0.35">
      <c r="A12" t="s">
        <v>49</v>
      </c>
      <c r="B12">
        <v>150000</v>
      </c>
      <c r="C12">
        <v>160000</v>
      </c>
      <c r="D12" t="s">
        <v>64</v>
      </c>
    </row>
    <row r="13" spans="1:6" x14ac:dyDescent="0.35">
      <c r="A13" t="s">
        <v>50</v>
      </c>
      <c r="B13">
        <v>140000</v>
      </c>
      <c r="C13">
        <v>155000</v>
      </c>
      <c r="D13" t="s">
        <v>63</v>
      </c>
    </row>
    <row r="14" spans="1:6" x14ac:dyDescent="0.35">
      <c r="A14" t="s">
        <v>51</v>
      </c>
      <c r="B14">
        <v>130000</v>
      </c>
      <c r="C14">
        <v>145000</v>
      </c>
      <c r="D14" t="s">
        <v>63</v>
      </c>
    </row>
    <row r="15" spans="1:6" x14ac:dyDescent="0.35">
      <c r="A15" t="s">
        <v>52</v>
      </c>
      <c r="B15">
        <v>120000</v>
      </c>
      <c r="C15">
        <v>130000</v>
      </c>
      <c r="D15" t="s">
        <v>63</v>
      </c>
    </row>
    <row r="16" spans="1:6" x14ac:dyDescent="0.35">
      <c r="A16" t="s">
        <v>53</v>
      </c>
      <c r="B16">
        <v>110000</v>
      </c>
      <c r="C16">
        <v>120000</v>
      </c>
      <c r="D16" t="s">
        <v>63</v>
      </c>
    </row>
    <row r="17" spans="1:4" x14ac:dyDescent="0.35">
      <c r="A17" t="s">
        <v>54</v>
      </c>
      <c r="B17">
        <v>100000</v>
      </c>
      <c r="C17">
        <v>110000</v>
      </c>
      <c r="D17" t="s">
        <v>63</v>
      </c>
    </row>
    <row r="18" spans="1:4" x14ac:dyDescent="0.35">
      <c r="A18" t="s">
        <v>55</v>
      </c>
      <c r="B18">
        <v>95000</v>
      </c>
      <c r="C18">
        <v>105000</v>
      </c>
      <c r="D18" t="s">
        <v>63</v>
      </c>
    </row>
    <row r="19" spans="1:4" x14ac:dyDescent="0.35">
      <c r="A19" t="s">
        <v>56</v>
      </c>
      <c r="B19">
        <v>90000</v>
      </c>
      <c r="C19">
        <v>100000</v>
      </c>
      <c r="D19" t="s">
        <v>63</v>
      </c>
    </row>
    <row r="20" spans="1:4" x14ac:dyDescent="0.35">
      <c r="A20" t="s">
        <v>57</v>
      </c>
      <c r="B20">
        <v>85000</v>
      </c>
      <c r="C20">
        <v>95000</v>
      </c>
      <c r="D20" t="s">
        <v>63</v>
      </c>
    </row>
    <row r="21" spans="1:4" x14ac:dyDescent="0.35">
      <c r="A21" t="s">
        <v>58</v>
      </c>
      <c r="B21">
        <v>80000</v>
      </c>
      <c r="C21">
        <v>90000</v>
      </c>
      <c r="D21" t="s">
        <v>63</v>
      </c>
    </row>
  </sheetData>
  <conditionalFormatting sqref="A2:D21">
    <cfRule type="expression" dxfId="1" priority="2">
      <formula>$D2="Growth"</formula>
    </cfRule>
    <cfRule type="expression" dxfId="0" priority="1">
      <formula>$D2="Stable"</formula>
    </cfRule>
  </conditionalFormatting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A7C24E-3F97-4859-B7A9-3E83A243C326}">
  <sheetPr codeName="Sheet13"/>
  <dimension ref="A1:D6"/>
  <sheetViews>
    <sheetView tabSelected="1" zoomScale="175" zoomScaleNormal="175" workbookViewId="0">
      <selection activeCell="F5" sqref="F5"/>
    </sheetView>
  </sheetViews>
  <sheetFormatPr defaultRowHeight="14.5" x14ac:dyDescent="0.35"/>
  <cols>
    <col min="1" max="1" width="15.26953125" bestFit="1" customWidth="1"/>
    <col min="2" max="3" width="12.1796875" bestFit="1" customWidth="1"/>
    <col min="4" max="4" width="6.36328125" customWidth="1"/>
  </cols>
  <sheetData>
    <row r="1" spans="1:4" x14ac:dyDescent="0.35">
      <c r="A1" t="s">
        <v>66</v>
      </c>
      <c r="B1" t="s">
        <v>72</v>
      </c>
      <c r="C1" t="s">
        <v>73</v>
      </c>
      <c r="D1" t="s">
        <v>59</v>
      </c>
    </row>
    <row r="2" spans="1:4" x14ac:dyDescent="0.35">
      <c r="A2" t="s">
        <v>67</v>
      </c>
      <c r="B2" s="3">
        <v>1200000</v>
      </c>
      <c r="C2" s="3">
        <v>1500000</v>
      </c>
      <c r="D2" s="3">
        <f>C2-B2</f>
        <v>300000</v>
      </c>
    </row>
    <row r="3" spans="1:4" x14ac:dyDescent="0.35">
      <c r="A3" t="s">
        <v>68</v>
      </c>
      <c r="B3" s="3">
        <v>800000</v>
      </c>
      <c r="C3" s="3">
        <v>720000</v>
      </c>
      <c r="D3" s="3">
        <f t="shared" ref="D3:D6" si="0">C3-B3</f>
        <v>-80000</v>
      </c>
    </row>
    <row r="4" spans="1:4" x14ac:dyDescent="0.35">
      <c r="A4" t="s">
        <v>69</v>
      </c>
      <c r="B4" s="3">
        <v>500000</v>
      </c>
      <c r="C4" s="3">
        <v>450000</v>
      </c>
      <c r="D4" s="3">
        <f t="shared" si="0"/>
        <v>-50000</v>
      </c>
    </row>
    <row r="5" spans="1:4" x14ac:dyDescent="0.35">
      <c r="A5" t="s">
        <v>70</v>
      </c>
      <c r="B5" s="3">
        <v>300000</v>
      </c>
      <c r="C5" s="3">
        <v>330000</v>
      </c>
      <c r="D5" s="3">
        <f t="shared" si="0"/>
        <v>30000</v>
      </c>
    </row>
    <row r="6" spans="1:4" x14ac:dyDescent="0.35">
      <c r="A6" t="s">
        <v>71</v>
      </c>
      <c r="B6" s="3">
        <v>150000</v>
      </c>
      <c r="C6" s="3">
        <v>160000</v>
      </c>
      <c r="D6" s="3">
        <f t="shared" si="0"/>
        <v>10000</v>
      </c>
    </row>
  </sheetData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iconSet" priority="1" id="{0F8EEA29-3C85-499C-A037-AAAC6F6C8B7A}">
            <x14:iconSet showValue="0" custom="1">
              <x14:cfvo type="percent">
                <xm:f>0</xm:f>
              </x14:cfvo>
              <x14:cfvo type="num">
                <xm:f>0</xm:f>
              </x14:cfvo>
              <x14:cfvo type="num" gte="0">
                <xm:f>0</xm:f>
              </x14:cfvo>
              <x14:cfIcon iconSet="3Arrows" iconId="0"/>
              <x14:cfIcon iconSet="3Arrows" iconId="1"/>
              <x14:cfIcon iconSet="3Arrows" iconId="2"/>
            </x14:iconSet>
          </x14:cfRule>
          <xm:sqref>D2:D6</xm:sqref>
        </x14:conditionalFormatting>
      </x14:conditionalFormatting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5E7BC5-A98E-40B7-8C84-07A0FA6D10C7}">
  <sheetPr codeName="Sheet14"/>
  <dimension ref="A1:I21"/>
  <sheetViews>
    <sheetView zoomScale="145" zoomScaleNormal="145" workbookViewId="0">
      <selection activeCell="D9" sqref="D9"/>
    </sheetView>
  </sheetViews>
  <sheetFormatPr defaultRowHeight="14.5" x14ac:dyDescent="0.35"/>
  <cols>
    <col min="1" max="1" width="14.1796875" bestFit="1" customWidth="1"/>
    <col min="2" max="3" width="12.1796875" bestFit="1" customWidth="1"/>
    <col min="4" max="4" width="8" bestFit="1" customWidth="1"/>
    <col min="8" max="8" width="12.1796875" bestFit="1" customWidth="1"/>
    <col min="9" max="9" width="12.1796875" customWidth="1"/>
  </cols>
  <sheetData>
    <row r="1" spans="1:9" x14ac:dyDescent="0.35">
      <c r="A1" t="s">
        <v>36</v>
      </c>
      <c r="B1" t="s">
        <v>37</v>
      </c>
      <c r="C1" t="s">
        <v>38</v>
      </c>
      <c r="D1" t="s">
        <v>65</v>
      </c>
      <c r="H1" t="s">
        <v>37</v>
      </c>
      <c r="I1" t="s">
        <v>38</v>
      </c>
    </row>
    <row r="2" spans="1:9" x14ac:dyDescent="0.35">
      <c r="A2" t="s">
        <v>39</v>
      </c>
      <c r="B2">
        <v>500000</v>
      </c>
      <c r="C2">
        <v>550000</v>
      </c>
      <c r="D2" t="s">
        <v>63</v>
      </c>
      <c r="G2" t="s">
        <v>63</v>
      </c>
    </row>
    <row r="3" spans="1:9" x14ac:dyDescent="0.35">
      <c r="A3" t="s">
        <v>40</v>
      </c>
      <c r="B3">
        <v>450000</v>
      </c>
      <c r="C3">
        <v>480000</v>
      </c>
      <c r="D3" t="s">
        <v>64</v>
      </c>
      <c r="G3" t="s">
        <v>64</v>
      </c>
    </row>
    <row r="4" spans="1:9" x14ac:dyDescent="0.35">
      <c r="A4" t="s">
        <v>41</v>
      </c>
      <c r="B4">
        <v>300000</v>
      </c>
      <c r="C4">
        <v>320000</v>
      </c>
      <c r="D4" t="s">
        <v>64</v>
      </c>
    </row>
    <row r="5" spans="1:9" x14ac:dyDescent="0.35">
      <c r="A5" t="s">
        <v>42</v>
      </c>
      <c r="B5">
        <v>280000</v>
      </c>
      <c r="C5">
        <v>290000</v>
      </c>
      <c r="D5" t="s">
        <v>64</v>
      </c>
    </row>
    <row r="6" spans="1:9" x14ac:dyDescent="0.35">
      <c r="A6" t="s">
        <v>43</v>
      </c>
      <c r="B6">
        <v>260000</v>
      </c>
      <c r="C6">
        <v>270000</v>
      </c>
      <c r="D6" t="s">
        <v>64</v>
      </c>
    </row>
    <row r="7" spans="1:9" x14ac:dyDescent="0.35">
      <c r="A7" t="s">
        <v>44</v>
      </c>
      <c r="B7">
        <v>240000</v>
      </c>
      <c r="C7">
        <v>255000</v>
      </c>
      <c r="D7" t="s">
        <v>64</v>
      </c>
    </row>
    <row r="8" spans="1:9" x14ac:dyDescent="0.35">
      <c r="A8" t="s">
        <v>45</v>
      </c>
      <c r="B8">
        <v>200000</v>
      </c>
      <c r="C8">
        <v>220000</v>
      </c>
      <c r="D8" t="s">
        <v>63</v>
      </c>
    </row>
    <row r="9" spans="1:9" x14ac:dyDescent="0.35">
      <c r="A9" t="s">
        <v>46</v>
      </c>
      <c r="B9">
        <v>180000</v>
      </c>
      <c r="C9">
        <v>190000</v>
      </c>
      <c r="D9" t="s">
        <v>64</v>
      </c>
    </row>
    <row r="10" spans="1:9" x14ac:dyDescent="0.35">
      <c r="A10" t="s">
        <v>47</v>
      </c>
      <c r="B10">
        <v>170000</v>
      </c>
      <c r="C10">
        <v>185000</v>
      </c>
      <c r="D10" t="s">
        <v>63</v>
      </c>
    </row>
    <row r="11" spans="1:9" x14ac:dyDescent="0.35">
      <c r="A11" t="s">
        <v>48</v>
      </c>
      <c r="B11">
        <v>160000</v>
      </c>
      <c r="C11">
        <v>170000</v>
      </c>
      <c r="D11" t="s">
        <v>64</v>
      </c>
    </row>
    <row r="12" spans="1:9" x14ac:dyDescent="0.35">
      <c r="A12" t="s">
        <v>49</v>
      </c>
      <c r="B12">
        <v>150000</v>
      </c>
      <c r="C12">
        <v>160000</v>
      </c>
      <c r="D12" t="s">
        <v>64</v>
      </c>
    </row>
    <row r="13" spans="1:9" x14ac:dyDescent="0.35">
      <c r="A13" t="s">
        <v>50</v>
      </c>
      <c r="B13">
        <v>140000</v>
      </c>
      <c r="C13">
        <v>155000</v>
      </c>
      <c r="D13" t="s">
        <v>63</v>
      </c>
    </row>
    <row r="14" spans="1:9" x14ac:dyDescent="0.35">
      <c r="A14" t="s">
        <v>51</v>
      </c>
      <c r="B14">
        <v>130000</v>
      </c>
      <c r="C14">
        <v>145000</v>
      </c>
      <c r="D14" t="s">
        <v>63</v>
      </c>
    </row>
    <row r="15" spans="1:9" x14ac:dyDescent="0.35">
      <c r="A15" t="s">
        <v>52</v>
      </c>
      <c r="B15">
        <v>120000</v>
      </c>
      <c r="C15">
        <v>130000</v>
      </c>
      <c r="D15" t="s">
        <v>63</v>
      </c>
    </row>
    <row r="16" spans="1:9" x14ac:dyDescent="0.35">
      <c r="A16" t="s">
        <v>53</v>
      </c>
      <c r="B16">
        <v>110000</v>
      </c>
      <c r="C16">
        <v>120000</v>
      </c>
      <c r="D16" t="s">
        <v>63</v>
      </c>
    </row>
    <row r="17" spans="1:4" x14ac:dyDescent="0.35">
      <c r="A17" t="s">
        <v>54</v>
      </c>
      <c r="B17">
        <v>100000</v>
      </c>
      <c r="C17">
        <v>110000</v>
      </c>
      <c r="D17" t="s">
        <v>63</v>
      </c>
    </row>
    <row r="18" spans="1:4" x14ac:dyDescent="0.35">
      <c r="A18" t="s">
        <v>55</v>
      </c>
      <c r="B18">
        <v>95000</v>
      </c>
      <c r="C18">
        <v>105000</v>
      </c>
      <c r="D18" t="s">
        <v>63</v>
      </c>
    </row>
    <row r="19" spans="1:4" x14ac:dyDescent="0.35">
      <c r="A19" t="s">
        <v>56</v>
      </c>
      <c r="B19">
        <v>90000</v>
      </c>
      <c r="C19">
        <v>100000</v>
      </c>
      <c r="D19" t="s">
        <v>63</v>
      </c>
    </row>
    <row r="20" spans="1:4" x14ac:dyDescent="0.35">
      <c r="A20" t="s">
        <v>57</v>
      </c>
      <c r="B20">
        <v>85000</v>
      </c>
      <c r="C20">
        <v>95000</v>
      </c>
      <c r="D20" t="s">
        <v>63</v>
      </c>
    </row>
    <row r="21" spans="1:4" x14ac:dyDescent="0.35">
      <c r="A21" t="s">
        <v>58</v>
      </c>
      <c r="B21">
        <v>80000</v>
      </c>
      <c r="C21">
        <v>90000</v>
      </c>
      <c r="D21" t="s">
        <v>63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93D609-3E1A-42A1-BD08-5F1CC0296495}">
  <sheetPr codeName="Sheet15"/>
  <dimension ref="A1:H5"/>
  <sheetViews>
    <sheetView zoomScale="145" zoomScaleNormal="145" workbookViewId="0">
      <selection activeCell="I3" sqref="I3"/>
    </sheetView>
  </sheetViews>
  <sheetFormatPr defaultRowHeight="14.5" x14ac:dyDescent="0.35"/>
  <cols>
    <col min="2" max="5" width="7.7265625" bestFit="1" customWidth="1"/>
  </cols>
  <sheetData>
    <row r="1" spans="1:8" x14ac:dyDescent="0.35">
      <c r="A1" t="s">
        <v>74</v>
      </c>
      <c r="B1">
        <v>2021</v>
      </c>
      <c r="C1">
        <v>2022</v>
      </c>
      <c r="D1">
        <v>2023</v>
      </c>
      <c r="E1">
        <v>2024</v>
      </c>
      <c r="F1" s="1"/>
      <c r="G1" s="1"/>
      <c r="H1" s="1"/>
    </row>
    <row r="2" spans="1:8" x14ac:dyDescent="0.35">
      <c r="A2" t="s">
        <v>75</v>
      </c>
      <c r="B2" s="3">
        <v>500000</v>
      </c>
      <c r="C2" s="3">
        <v>520000</v>
      </c>
      <c r="D2" s="3">
        <v>550000</v>
      </c>
      <c r="E2" s="3">
        <v>580000</v>
      </c>
    </row>
    <row r="3" spans="1:8" x14ac:dyDescent="0.35">
      <c r="A3" t="s">
        <v>76</v>
      </c>
      <c r="B3" s="3">
        <v>350000</v>
      </c>
      <c r="C3" s="3">
        <v>370000</v>
      </c>
      <c r="D3" s="3">
        <v>390000</v>
      </c>
      <c r="E3" s="3">
        <v>410000</v>
      </c>
    </row>
    <row r="4" spans="1:8" x14ac:dyDescent="0.35">
      <c r="A4" t="s">
        <v>77</v>
      </c>
      <c r="B4" s="3">
        <v>450000</v>
      </c>
      <c r="C4" s="3">
        <v>470000</v>
      </c>
      <c r="D4" s="3">
        <v>490000</v>
      </c>
      <c r="E4" s="3">
        <v>510000</v>
      </c>
    </row>
    <row r="5" spans="1:8" x14ac:dyDescent="0.35">
      <c r="A5" t="s">
        <v>78</v>
      </c>
      <c r="B5" s="3">
        <v>300000</v>
      </c>
      <c r="C5" s="3">
        <v>310000</v>
      </c>
      <c r="D5" s="3">
        <v>330000</v>
      </c>
      <c r="E5" s="3">
        <v>340000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9F8557-263A-49CD-BE43-9FDE144EBF95}">
  <sheetPr codeName="Sheet16"/>
  <dimension ref="A1:H5"/>
  <sheetViews>
    <sheetView zoomScale="160" zoomScaleNormal="160" workbookViewId="0">
      <selection activeCell="F2" sqref="F2:H5"/>
    </sheetView>
  </sheetViews>
  <sheetFormatPr defaultRowHeight="14.5" x14ac:dyDescent="0.35"/>
  <cols>
    <col min="2" max="5" width="7.90625" bestFit="1" customWidth="1"/>
    <col min="6" max="8" width="9.453125" bestFit="1" customWidth="1"/>
  </cols>
  <sheetData>
    <row r="1" spans="1:8" x14ac:dyDescent="0.35">
      <c r="A1" t="s">
        <v>74</v>
      </c>
      <c r="B1">
        <v>2021</v>
      </c>
      <c r="C1">
        <v>2022</v>
      </c>
      <c r="D1">
        <v>2023</v>
      </c>
      <c r="E1">
        <v>2024</v>
      </c>
      <c r="F1" t="s">
        <v>79</v>
      </c>
      <c r="G1" t="s">
        <v>80</v>
      </c>
      <c r="H1" t="s">
        <v>81</v>
      </c>
    </row>
    <row r="2" spans="1:8" x14ac:dyDescent="0.35">
      <c r="A2" t="s">
        <v>75</v>
      </c>
      <c r="B2" s="3">
        <v>500000</v>
      </c>
      <c r="C2" s="3">
        <v>520000</v>
      </c>
      <c r="D2" s="3">
        <v>550000</v>
      </c>
      <c r="E2" s="3">
        <v>580000</v>
      </c>
    </row>
    <row r="3" spans="1:8" x14ac:dyDescent="0.35">
      <c r="A3" t="s">
        <v>76</v>
      </c>
      <c r="B3" s="3">
        <v>350000</v>
      </c>
      <c r="C3" s="3">
        <v>370000</v>
      </c>
      <c r="D3" s="3">
        <v>390000</v>
      </c>
      <c r="E3" s="3">
        <v>410000</v>
      </c>
    </row>
    <row r="4" spans="1:8" x14ac:dyDescent="0.35">
      <c r="A4" t="s">
        <v>77</v>
      </c>
      <c r="B4" s="3">
        <v>450000</v>
      </c>
      <c r="C4" s="3">
        <v>470000</v>
      </c>
      <c r="D4" s="3">
        <v>490000</v>
      </c>
      <c r="E4" s="3">
        <v>510000</v>
      </c>
    </row>
    <row r="5" spans="1:8" x14ac:dyDescent="0.35">
      <c r="A5" t="s">
        <v>78</v>
      </c>
      <c r="B5" s="3">
        <v>300000</v>
      </c>
      <c r="C5" s="3">
        <v>310000</v>
      </c>
      <c r="D5" s="3">
        <v>330000</v>
      </c>
      <c r="E5" s="3">
        <v>340000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B3CA21-E378-4463-A6A6-98E6E8F41F1A}">
  <sheetPr codeName="Sheet17"/>
  <dimension ref="A1:E11"/>
  <sheetViews>
    <sheetView zoomScale="160" zoomScaleNormal="160" workbookViewId="0">
      <selection activeCell="E9" sqref="E9"/>
    </sheetView>
  </sheetViews>
  <sheetFormatPr defaultRowHeight="14.5" x14ac:dyDescent="0.35"/>
  <cols>
    <col min="2" max="2" width="7.90625" bestFit="1" customWidth="1"/>
    <col min="3" max="5" width="9.54296875" bestFit="1" customWidth="1"/>
    <col min="6" max="8" width="9.453125" bestFit="1" customWidth="1"/>
  </cols>
  <sheetData>
    <row r="1" spans="1:5" x14ac:dyDescent="0.35">
      <c r="A1" t="s">
        <v>74</v>
      </c>
      <c r="B1">
        <v>2021</v>
      </c>
      <c r="C1">
        <v>2022</v>
      </c>
      <c r="D1">
        <v>2023</v>
      </c>
      <c r="E1">
        <v>2024</v>
      </c>
    </row>
    <row r="2" spans="1:5" x14ac:dyDescent="0.35">
      <c r="A2" t="s">
        <v>75</v>
      </c>
      <c r="B2" s="3">
        <v>500000</v>
      </c>
      <c r="C2" s="3">
        <v>520000</v>
      </c>
      <c r="D2" s="3">
        <v>550000</v>
      </c>
      <c r="E2" s="3">
        <v>580000</v>
      </c>
    </row>
    <row r="3" spans="1:5" x14ac:dyDescent="0.35">
      <c r="A3" t="s">
        <v>76</v>
      </c>
      <c r="B3" s="3">
        <v>350000</v>
      </c>
      <c r="C3" s="3">
        <v>370000</v>
      </c>
      <c r="D3" s="3">
        <v>390000</v>
      </c>
      <c r="E3" s="3">
        <v>410000</v>
      </c>
    </row>
    <row r="4" spans="1:5" x14ac:dyDescent="0.35">
      <c r="A4" t="s">
        <v>77</v>
      </c>
      <c r="B4" s="3">
        <v>450000</v>
      </c>
      <c r="C4" s="3">
        <v>470000</v>
      </c>
      <c r="D4" s="3">
        <v>490000</v>
      </c>
      <c r="E4" s="3">
        <v>510000</v>
      </c>
    </row>
    <row r="5" spans="1:5" x14ac:dyDescent="0.35">
      <c r="A5" t="s">
        <v>78</v>
      </c>
      <c r="B5" s="3">
        <v>300000</v>
      </c>
      <c r="C5" s="3">
        <v>310000</v>
      </c>
      <c r="D5" s="3">
        <v>330000</v>
      </c>
      <c r="E5" s="3">
        <v>340000</v>
      </c>
    </row>
    <row r="7" spans="1:5" x14ac:dyDescent="0.35">
      <c r="A7" t="s">
        <v>74</v>
      </c>
      <c r="C7" t="s">
        <v>79</v>
      </c>
      <c r="D7" t="s">
        <v>80</v>
      </c>
      <c r="E7" t="s">
        <v>81</v>
      </c>
    </row>
    <row r="8" spans="1:5" x14ac:dyDescent="0.35">
      <c r="A8" t="s">
        <v>75</v>
      </c>
    </row>
    <row r="9" spans="1:5" x14ac:dyDescent="0.35">
      <c r="A9" t="s">
        <v>76</v>
      </c>
    </row>
    <row r="10" spans="1:5" x14ac:dyDescent="0.35">
      <c r="A10" t="s">
        <v>77</v>
      </c>
    </row>
    <row r="11" spans="1:5" x14ac:dyDescent="0.35">
      <c r="A11" t="s">
        <v>78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88EDF6-8512-47B7-8CAB-8A98F4A42075}">
  <sheetPr codeName="Sheet18"/>
  <dimension ref="A1:G11"/>
  <sheetViews>
    <sheetView zoomScale="160" zoomScaleNormal="160" workbookViewId="0">
      <selection activeCell="F7" sqref="F7"/>
    </sheetView>
  </sheetViews>
  <sheetFormatPr defaultRowHeight="14.5" x14ac:dyDescent="0.35"/>
  <cols>
    <col min="2" max="2" width="7.90625" bestFit="1" customWidth="1"/>
    <col min="3" max="5" width="9.54296875" bestFit="1" customWidth="1"/>
    <col min="6" max="8" width="9.453125" bestFit="1" customWidth="1"/>
  </cols>
  <sheetData>
    <row r="1" spans="1:7" x14ac:dyDescent="0.35">
      <c r="A1" t="s">
        <v>74</v>
      </c>
      <c r="B1">
        <v>2021</v>
      </c>
      <c r="C1">
        <v>2022</v>
      </c>
      <c r="D1">
        <v>2023</v>
      </c>
      <c r="E1">
        <v>2024</v>
      </c>
      <c r="G1" t="s">
        <v>82</v>
      </c>
    </row>
    <row r="2" spans="1:7" x14ac:dyDescent="0.35">
      <c r="A2" t="s">
        <v>75</v>
      </c>
      <c r="B2" s="3">
        <v>500000</v>
      </c>
      <c r="C2" s="3">
        <v>520000</v>
      </c>
      <c r="D2" s="3">
        <v>550000</v>
      </c>
      <c r="E2" s="3">
        <v>580000</v>
      </c>
    </row>
    <row r="3" spans="1:7" x14ac:dyDescent="0.35">
      <c r="A3" t="s">
        <v>76</v>
      </c>
      <c r="B3" s="3">
        <v>350000</v>
      </c>
      <c r="C3" s="3">
        <v>370000</v>
      </c>
      <c r="D3" s="3">
        <v>390000</v>
      </c>
      <c r="E3" s="3">
        <v>410000</v>
      </c>
    </row>
    <row r="4" spans="1:7" x14ac:dyDescent="0.35">
      <c r="A4" t="s">
        <v>77</v>
      </c>
      <c r="B4" s="3">
        <v>450000</v>
      </c>
      <c r="C4" s="3">
        <v>470000</v>
      </c>
      <c r="D4" s="3">
        <v>490000</v>
      </c>
      <c r="E4" s="3">
        <v>510000</v>
      </c>
    </row>
    <row r="5" spans="1:7" x14ac:dyDescent="0.35">
      <c r="A5" t="s">
        <v>78</v>
      </c>
      <c r="B5" s="3">
        <v>300000</v>
      </c>
      <c r="C5" s="3">
        <v>310000</v>
      </c>
      <c r="D5" s="3">
        <v>330000</v>
      </c>
      <c r="E5" s="3">
        <v>340000</v>
      </c>
    </row>
    <row r="7" spans="1:7" ht="15" thickBot="1" x14ac:dyDescent="0.4">
      <c r="A7" t="s">
        <v>74</v>
      </c>
      <c r="C7" t="s">
        <v>79</v>
      </c>
      <c r="D7" t="s">
        <v>80</v>
      </c>
      <c r="E7" t="s">
        <v>81</v>
      </c>
    </row>
    <row r="8" spans="1:7" x14ac:dyDescent="0.35">
      <c r="A8" t="s">
        <v>75</v>
      </c>
      <c r="C8" s="4"/>
      <c r="D8" s="5"/>
      <c r="E8" s="6"/>
    </row>
    <row r="9" spans="1:7" x14ac:dyDescent="0.35">
      <c r="A9" t="s">
        <v>76</v>
      </c>
      <c r="C9" s="7"/>
      <c r="E9" s="8"/>
    </row>
    <row r="10" spans="1:7" x14ac:dyDescent="0.35">
      <c r="A10" t="s">
        <v>77</v>
      </c>
      <c r="C10" s="7"/>
      <c r="E10" s="8"/>
    </row>
    <row r="11" spans="1:7" ht="15" thickBot="1" x14ac:dyDescent="0.4">
      <c r="A11" t="s">
        <v>78</v>
      </c>
      <c r="C11" s="9"/>
      <c r="D11" s="10"/>
      <c r="E11" s="11"/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54AA02-81E6-4A9C-9BFD-AE72DA6F1F8D}">
  <sheetPr codeName="Sheet19"/>
  <dimension ref="A1:G11"/>
  <sheetViews>
    <sheetView zoomScale="160" zoomScaleNormal="160" workbookViewId="0">
      <selection activeCell="D9" sqref="D9"/>
    </sheetView>
  </sheetViews>
  <sheetFormatPr defaultRowHeight="14.5" x14ac:dyDescent="0.35"/>
  <cols>
    <col min="2" max="2" width="7.90625" bestFit="1" customWidth="1"/>
    <col min="3" max="5" width="9.54296875" bestFit="1" customWidth="1"/>
    <col min="6" max="8" width="9.453125" bestFit="1" customWidth="1"/>
  </cols>
  <sheetData>
    <row r="1" spans="1:7" x14ac:dyDescent="0.35">
      <c r="A1" t="s">
        <v>74</v>
      </c>
      <c r="B1">
        <v>2021</v>
      </c>
      <c r="C1">
        <v>2022</v>
      </c>
      <c r="D1">
        <v>2023</v>
      </c>
      <c r="E1">
        <v>2024</v>
      </c>
      <c r="G1" t="s">
        <v>82</v>
      </c>
    </row>
    <row r="2" spans="1:7" x14ac:dyDescent="0.35">
      <c r="A2" t="s">
        <v>75</v>
      </c>
      <c r="B2" s="3">
        <v>500000</v>
      </c>
      <c r="C2" s="3">
        <v>520000</v>
      </c>
      <c r="D2" s="3">
        <v>550000</v>
      </c>
      <c r="E2" s="3">
        <v>580000</v>
      </c>
    </row>
    <row r="3" spans="1:7" x14ac:dyDescent="0.35">
      <c r="A3" t="s">
        <v>76</v>
      </c>
      <c r="B3" s="3">
        <v>350000</v>
      </c>
      <c r="C3" s="3">
        <v>370000</v>
      </c>
      <c r="D3" s="3">
        <v>390000</v>
      </c>
      <c r="E3" s="3">
        <v>410000</v>
      </c>
    </row>
    <row r="4" spans="1:7" x14ac:dyDescent="0.35">
      <c r="A4" t="s">
        <v>77</v>
      </c>
      <c r="B4" s="3">
        <v>450000</v>
      </c>
      <c r="C4" s="3">
        <v>470000</v>
      </c>
      <c r="D4" s="3">
        <v>490000</v>
      </c>
      <c r="E4" s="3">
        <v>510000</v>
      </c>
    </row>
    <row r="5" spans="1:7" x14ac:dyDescent="0.35">
      <c r="A5" t="s">
        <v>78</v>
      </c>
      <c r="B5" s="3">
        <v>300000</v>
      </c>
      <c r="C5" s="3">
        <v>310000</v>
      </c>
      <c r="D5" s="3">
        <v>330000</v>
      </c>
      <c r="E5" s="3">
        <v>340000</v>
      </c>
    </row>
    <row r="7" spans="1:7" x14ac:dyDescent="0.35">
      <c r="A7" t="s">
        <v>74</v>
      </c>
      <c r="C7" t="s">
        <v>79</v>
      </c>
      <c r="D7" t="s">
        <v>80</v>
      </c>
      <c r="E7" t="s">
        <v>81</v>
      </c>
    </row>
    <row r="8" spans="1:7" x14ac:dyDescent="0.35">
      <c r="A8" t="s">
        <v>75</v>
      </c>
    </row>
    <row r="9" spans="1:7" x14ac:dyDescent="0.35">
      <c r="A9" t="s">
        <v>76</v>
      </c>
    </row>
    <row r="10" spans="1:7" x14ac:dyDescent="0.35">
      <c r="A10" t="s">
        <v>77</v>
      </c>
    </row>
    <row r="11" spans="1:7" x14ac:dyDescent="0.35">
      <c r="A11" t="s">
        <v>78</v>
      </c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C2CF36-B7DE-4033-B9EB-36DE5B7C5510}">
  <sheetPr codeName="Sheet20"/>
  <dimension ref="A1:J6"/>
  <sheetViews>
    <sheetView workbookViewId="0">
      <selection activeCell="I11" sqref="I11"/>
    </sheetView>
  </sheetViews>
  <sheetFormatPr defaultRowHeight="14.5" x14ac:dyDescent="0.35"/>
  <cols>
    <col min="1" max="1" width="8" bestFit="1" customWidth="1"/>
    <col min="2" max="2" width="8.90625" bestFit="1" customWidth="1"/>
    <col min="3" max="3" width="8" bestFit="1" customWidth="1"/>
    <col min="4" max="4" width="14.54296875" customWidth="1"/>
    <col min="5" max="5" width="9.1796875" customWidth="1"/>
    <col min="9" max="9" width="9" bestFit="1" customWidth="1"/>
    <col min="10" max="10" width="11.36328125" bestFit="1" customWidth="1"/>
  </cols>
  <sheetData>
    <row r="1" spans="1:10" x14ac:dyDescent="0.35">
      <c r="A1" t="s">
        <v>83</v>
      </c>
      <c r="B1" t="s">
        <v>66</v>
      </c>
      <c r="C1" t="s">
        <v>84</v>
      </c>
      <c r="D1" t="s">
        <v>85</v>
      </c>
      <c r="E1" t="s">
        <v>91</v>
      </c>
      <c r="I1" t="s">
        <v>66</v>
      </c>
      <c r="J1" t="s">
        <v>89</v>
      </c>
    </row>
    <row r="2" spans="1:10" x14ac:dyDescent="0.35">
      <c r="A2">
        <v>1001</v>
      </c>
      <c r="B2" t="s">
        <v>86</v>
      </c>
      <c r="C2">
        <v>10</v>
      </c>
      <c r="D2" s="1"/>
      <c r="E2" s="1"/>
      <c r="I2" t="s">
        <v>86</v>
      </c>
      <c r="J2">
        <v>20</v>
      </c>
    </row>
    <row r="3" spans="1:10" x14ac:dyDescent="0.35">
      <c r="A3">
        <v>1002</v>
      </c>
      <c r="B3" t="s">
        <v>87</v>
      </c>
      <c r="C3">
        <v>5</v>
      </c>
      <c r="D3" s="1"/>
      <c r="E3" s="1"/>
      <c r="I3" t="s">
        <v>87</v>
      </c>
      <c r="J3">
        <v>30</v>
      </c>
    </row>
    <row r="4" spans="1:10" x14ac:dyDescent="0.35">
      <c r="A4">
        <v>1003</v>
      </c>
      <c r="B4" t="s">
        <v>86</v>
      </c>
      <c r="C4">
        <v>8</v>
      </c>
      <c r="D4" s="1"/>
      <c r="E4" s="1"/>
      <c r="I4" t="s">
        <v>88</v>
      </c>
      <c r="J4">
        <v>15</v>
      </c>
    </row>
    <row r="5" spans="1:10" x14ac:dyDescent="0.35">
      <c r="A5">
        <v>1004</v>
      </c>
      <c r="B5" t="s">
        <v>88</v>
      </c>
      <c r="C5">
        <v>15</v>
      </c>
      <c r="D5" s="1"/>
      <c r="E5" s="1"/>
      <c r="I5" t="s">
        <v>90</v>
      </c>
      <c r="J5">
        <v>25</v>
      </c>
    </row>
    <row r="6" spans="1:10" x14ac:dyDescent="0.35">
      <c r="A6">
        <v>1005</v>
      </c>
      <c r="B6" t="s">
        <v>87</v>
      </c>
      <c r="C6">
        <v>3</v>
      </c>
      <c r="D6" s="1"/>
      <c r="E6" s="1"/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C64990-7240-477C-AE54-84030622FD0F}">
  <sheetPr codeName="Sheet21"/>
  <dimension ref="A1:I5"/>
  <sheetViews>
    <sheetView workbookViewId="0">
      <selection activeCell="G9" sqref="G9"/>
    </sheetView>
  </sheetViews>
  <sheetFormatPr defaultRowHeight="14.5" x14ac:dyDescent="0.35"/>
  <cols>
    <col min="1" max="1" width="11.26953125" bestFit="1" customWidth="1"/>
    <col min="2" max="2" width="14.453125" bestFit="1" customWidth="1"/>
    <col min="3" max="3" width="13.26953125" bestFit="1" customWidth="1"/>
    <col min="4" max="4" width="16.36328125" bestFit="1" customWidth="1"/>
    <col min="5" max="5" width="7.54296875" bestFit="1" customWidth="1"/>
    <col min="8" max="8" width="13.26953125" bestFit="1" customWidth="1"/>
    <col min="9" max="9" width="16.36328125" bestFit="1" customWidth="1"/>
    <col min="10" max="10" width="11.36328125" bestFit="1" customWidth="1"/>
  </cols>
  <sheetData>
    <row r="1" spans="1:9" x14ac:dyDescent="0.35">
      <c r="A1" t="s">
        <v>92</v>
      </c>
      <c r="B1" t="s">
        <v>93</v>
      </c>
      <c r="C1" t="s">
        <v>94</v>
      </c>
      <c r="D1" t="s">
        <v>99</v>
      </c>
      <c r="H1" t="s">
        <v>94</v>
      </c>
      <c r="I1" t="s">
        <v>99</v>
      </c>
    </row>
    <row r="2" spans="1:9" x14ac:dyDescent="0.35">
      <c r="A2">
        <v>101</v>
      </c>
      <c r="B2" t="s">
        <v>95</v>
      </c>
      <c r="C2">
        <v>201</v>
      </c>
      <c r="D2" s="1"/>
      <c r="H2">
        <v>201</v>
      </c>
      <c r="I2" t="s">
        <v>3</v>
      </c>
    </row>
    <row r="3" spans="1:9" x14ac:dyDescent="0.35">
      <c r="A3">
        <v>102</v>
      </c>
      <c r="B3" t="s">
        <v>96</v>
      </c>
      <c r="C3">
        <v>202</v>
      </c>
      <c r="D3" s="1"/>
      <c r="H3">
        <v>202</v>
      </c>
      <c r="I3" t="s">
        <v>100</v>
      </c>
    </row>
    <row r="4" spans="1:9" x14ac:dyDescent="0.35">
      <c r="A4">
        <v>103</v>
      </c>
      <c r="B4" t="s">
        <v>97</v>
      </c>
      <c r="C4">
        <v>201</v>
      </c>
      <c r="D4" s="1"/>
      <c r="H4">
        <v>203</v>
      </c>
      <c r="I4" t="s">
        <v>101</v>
      </c>
    </row>
    <row r="5" spans="1:9" x14ac:dyDescent="0.35">
      <c r="A5">
        <v>104</v>
      </c>
      <c r="B5" t="s">
        <v>98</v>
      </c>
      <c r="C5">
        <v>203</v>
      </c>
      <c r="D5" s="1"/>
    </row>
  </sheetData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69DD6F-DB75-4924-8B24-8CAD8F0E7FE9}">
  <sheetPr codeName="Sheet22"/>
  <dimension ref="A1:L12"/>
  <sheetViews>
    <sheetView zoomScale="130" zoomScaleNormal="130" workbookViewId="0">
      <selection activeCell="G9" sqref="G9"/>
    </sheetView>
  </sheetViews>
  <sheetFormatPr defaultRowHeight="14.5" x14ac:dyDescent="0.35"/>
  <cols>
    <col min="1" max="1" width="10.26953125" bestFit="1" customWidth="1"/>
    <col min="2" max="2" width="13.453125" bestFit="1" customWidth="1"/>
    <col min="3" max="3" width="17.7265625" bestFit="1" customWidth="1"/>
    <col min="8" max="8" width="10.26953125" bestFit="1" customWidth="1"/>
    <col min="9" max="9" width="13.453125" bestFit="1" customWidth="1"/>
  </cols>
  <sheetData>
    <row r="1" spans="1:12" x14ac:dyDescent="0.35">
      <c r="A1" t="s">
        <v>102</v>
      </c>
      <c r="B1" t="s">
        <v>103</v>
      </c>
      <c r="C1" t="s">
        <v>104</v>
      </c>
      <c r="H1" t="s">
        <v>102</v>
      </c>
      <c r="I1" t="s">
        <v>103</v>
      </c>
      <c r="J1" t="s">
        <v>114</v>
      </c>
      <c r="K1" t="s">
        <v>113</v>
      </c>
      <c r="L1" t="s">
        <v>91</v>
      </c>
    </row>
    <row r="2" spans="1:12" x14ac:dyDescent="0.35">
      <c r="A2" t="s">
        <v>105</v>
      </c>
      <c r="B2" t="s">
        <v>106</v>
      </c>
      <c r="C2">
        <v>1000</v>
      </c>
      <c r="H2" t="s">
        <v>107</v>
      </c>
    </row>
    <row r="3" spans="1:12" x14ac:dyDescent="0.35">
      <c r="A3" t="s">
        <v>107</v>
      </c>
      <c r="B3" t="s">
        <v>108</v>
      </c>
      <c r="C3">
        <v>850</v>
      </c>
      <c r="H3" t="s">
        <v>109</v>
      </c>
    </row>
    <row r="4" spans="1:12" x14ac:dyDescent="0.35">
      <c r="A4" t="s">
        <v>109</v>
      </c>
      <c r="B4" t="s">
        <v>110</v>
      </c>
      <c r="C4">
        <v>1200</v>
      </c>
      <c r="H4" t="s">
        <v>105</v>
      </c>
    </row>
    <row r="5" spans="1:12" x14ac:dyDescent="0.35">
      <c r="A5" t="s">
        <v>111</v>
      </c>
      <c r="B5" t="s">
        <v>112</v>
      </c>
      <c r="C5">
        <v>700</v>
      </c>
      <c r="H5" t="s">
        <v>111</v>
      </c>
    </row>
    <row r="8" spans="1:12" x14ac:dyDescent="0.35">
      <c r="A8" t="s">
        <v>102</v>
      </c>
      <c r="B8" t="s">
        <v>113</v>
      </c>
    </row>
    <row r="9" spans="1:12" x14ac:dyDescent="0.35">
      <c r="A9" t="s">
        <v>105</v>
      </c>
      <c r="B9">
        <v>85000</v>
      </c>
    </row>
    <row r="10" spans="1:12" x14ac:dyDescent="0.35">
      <c r="A10" t="s">
        <v>107</v>
      </c>
      <c r="B10">
        <v>492000</v>
      </c>
    </row>
    <row r="11" spans="1:12" x14ac:dyDescent="0.35">
      <c r="A11" t="s">
        <v>109</v>
      </c>
      <c r="B11">
        <v>77000</v>
      </c>
    </row>
    <row r="12" spans="1:12" x14ac:dyDescent="0.35">
      <c r="A12" t="s">
        <v>111</v>
      </c>
      <c r="B12">
        <v>415000</v>
      </c>
    </row>
  </sheetData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D42E2D-FAE9-4DE8-AC46-C7D94E6772F7}">
  <sheetPr codeName="Sheet23"/>
  <dimension ref="A1:C12"/>
  <sheetViews>
    <sheetView zoomScale="130" zoomScaleNormal="130" workbookViewId="0"/>
  </sheetViews>
  <sheetFormatPr defaultRowHeight="14.5" x14ac:dyDescent="0.35"/>
  <cols>
    <col min="1" max="1" width="10.26953125" bestFit="1" customWidth="1"/>
    <col min="2" max="2" width="13.453125" bestFit="1" customWidth="1"/>
    <col min="3" max="3" width="17.7265625" bestFit="1" customWidth="1"/>
    <col min="8" max="8" width="10.26953125" bestFit="1" customWidth="1"/>
    <col min="9" max="9" width="13.453125" bestFit="1" customWidth="1"/>
  </cols>
  <sheetData>
    <row r="1" spans="1:3" x14ac:dyDescent="0.35">
      <c r="A1" t="s">
        <v>102</v>
      </c>
      <c r="B1" t="s">
        <v>103</v>
      </c>
      <c r="C1" t="s">
        <v>104</v>
      </c>
    </row>
    <row r="2" spans="1:3" x14ac:dyDescent="0.35">
      <c r="A2" t="s">
        <v>105</v>
      </c>
      <c r="B2" t="s">
        <v>106</v>
      </c>
      <c r="C2">
        <v>1000</v>
      </c>
    </row>
    <row r="3" spans="1:3" x14ac:dyDescent="0.35">
      <c r="A3" t="s">
        <v>107</v>
      </c>
      <c r="B3" t="s">
        <v>108</v>
      </c>
      <c r="C3">
        <v>850</v>
      </c>
    </row>
    <row r="4" spans="1:3" x14ac:dyDescent="0.35">
      <c r="A4" t="s">
        <v>109</v>
      </c>
      <c r="B4" t="s">
        <v>110</v>
      </c>
      <c r="C4">
        <v>1200</v>
      </c>
    </row>
    <row r="5" spans="1:3" x14ac:dyDescent="0.35">
      <c r="A5" t="s">
        <v>111</v>
      </c>
      <c r="B5" t="s">
        <v>112</v>
      </c>
      <c r="C5">
        <v>700</v>
      </c>
    </row>
    <row r="8" spans="1:3" x14ac:dyDescent="0.35">
      <c r="A8" t="s">
        <v>102</v>
      </c>
      <c r="B8" t="s">
        <v>113</v>
      </c>
    </row>
    <row r="9" spans="1:3" x14ac:dyDescent="0.35">
      <c r="A9" t="s">
        <v>105</v>
      </c>
      <c r="B9">
        <v>85000</v>
      </c>
    </row>
    <row r="10" spans="1:3" x14ac:dyDescent="0.35">
      <c r="A10" t="s">
        <v>107</v>
      </c>
      <c r="B10">
        <v>492000</v>
      </c>
    </row>
    <row r="11" spans="1:3" x14ac:dyDescent="0.35">
      <c r="A11" t="s">
        <v>109</v>
      </c>
      <c r="B11">
        <v>77000</v>
      </c>
    </row>
    <row r="12" spans="1:3" x14ac:dyDescent="0.35">
      <c r="A12" t="s">
        <v>111</v>
      </c>
      <c r="B12">
        <v>415000</v>
      </c>
    </row>
  </sheetData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18F035-5423-4EAD-BC68-009474E7BD4E}">
  <sheetPr codeName="Sheet24"/>
  <dimension ref="A1:E5"/>
  <sheetViews>
    <sheetView zoomScale="130" zoomScaleNormal="130" workbookViewId="0">
      <selection activeCell="D5" sqref="D5"/>
    </sheetView>
  </sheetViews>
  <sheetFormatPr defaultRowHeight="14.5" x14ac:dyDescent="0.35"/>
  <cols>
    <col min="1" max="1" width="10.26953125" bestFit="1" customWidth="1"/>
    <col min="2" max="2" width="13.453125" bestFit="1" customWidth="1"/>
  </cols>
  <sheetData>
    <row r="1" spans="1:5" x14ac:dyDescent="0.35">
      <c r="A1" t="s">
        <v>102</v>
      </c>
      <c r="B1" t="s">
        <v>103</v>
      </c>
      <c r="C1" t="s">
        <v>114</v>
      </c>
      <c r="D1" t="s">
        <v>113</v>
      </c>
      <c r="E1" t="s">
        <v>91</v>
      </c>
    </row>
    <row r="2" spans="1:5" x14ac:dyDescent="0.35">
      <c r="A2" t="s">
        <v>107</v>
      </c>
    </row>
    <row r="3" spans="1:5" x14ac:dyDescent="0.35">
      <c r="A3" t="s">
        <v>109</v>
      </c>
    </row>
    <row r="4" spans="1:5" x14ac:dyDescent="0.35">
      <c r="A4" t="s">
        <v>105</v>
      </c>
    </row>
    <row r="5" spans="1:5" x14ac:dyDescent="0.35">
      <c r="A5" t="s">
        <v>111</v>
      </c>
    </row>
  </sheetData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BF7CAA-C959-4CBD-93A3-E8A92D94C6FC}">
  <sheetPr codeName="Sheet28"/>
  <dimension ref="A1:D21"/>
  <sheetViews>
    <sheetView zoomScale="190" zoomScaleNormal="190" workbookViewId="0">
      <selection activeCell="D9" sqref="D9"/>
    </sheetView>
  </sheetViews>
  <sheetFormatPr defaultRowHeight="14.5" x14ac:dyDescent="0.35"/>
  <cols>
    <col min="1" max="1" width="9.7265625" bestFit="1" customWidth="1"/>
    <col min="2" max="2" width="9.453125" bestFit="1" customWidth="1"/>
    <col min="3" max="3" width="11.54296875" bestFit="1" customWidth="1"/>
    <col min="4" max="4" width="15.26953125" bestFit="1" customWidth="1"/>
  </cols>
  <sheetData>
    <row r="1" spans="1:4" x14ac:dyDescent="0.35">
      <c r="A1" t="s">
        <v>170</v>
      </c>
      <c r="B1" t="s">
        <v>171</v>
      </c>
      <c r="C1" t="s">
        <v>36</v>
      </c>
    </row>
    <row r="2" spans="1:4" x14ac:dyDescent="0.35">
      <c r="A2" t="s">
        <v>128</v>
      </c>
      <c r="B2" t="s">
        <v>138</v>
      </c>
      <c r="C2" t="s">
        <v>45</v>
      </c>
      <c r="D2" t="s">
        <v>117</v>
      </c>
    </row>
    <row r="3" spans="1:4" x14ac:dyDescent="0.35">
      <c r="A3" t="s">
        <v>129</v>
      </c>
      <c r="B3" t="s">
        <v>139</v>
      </c>
      <c r="C3" t="s">
        <v>48</v>
      </c>
    </row>
    <row r="4" spans="1:4" x14ac:dyDescent="0.35">
      <c r="A4" t="s">
        <v>130</v>
      </c>
      <c r="B4" t="s">
        <v>140</v>
      </c>
      <c r="C4" t="s">
        <v>147</v>
      </c>
    </row>
    <row r="5" spans="1:4" x14ac:dyDescent="0.35">
      <c r="A5" t="s">
        <v>131</v>
      </c>
      <c r="B5" t="s">
        <v>141</v>
      </c>
      <c r="C5" t="s">
        <v>148</v>
      </c>
    </row>
    <row r="6" spans="1:4" x14ac:dyDescent="0.35">
      <c r="A6" t="s">
        <v>132</v>
      </c>
      <c r="B6" t="s">
        <v>142</v>
      </c>
      <c r="C6" t="s">
        <v>149</v>
      </c>
    </row>
    <row r="7" spans="1:4" x14ac:dyDescent="0.35">
      <c r="A7" t="s">
        <v>133</v>
      </c>
      <c r="B7" t="s">
        <v>116</v>
      </c>
      <c r="C7" t="s">
        <v>150</v>
      </c>
    </row>
    <row r="8" spans="1:4" x14ac:dyDescent="0.35">
      <c r="A8" t="s">
        <v>134</v>
      </c>
      <c r="B8" t="s">
        <v>143</v>
      </c>
      <c r="C8" t="s">
        <v>45</v>
      </c>
    </row>
    <row r="9" spans="1:4" x14ac:dyDescent="0.35">
      <c r="A9" t="s">
        <v>135</v>
      </c>
      <c r="B9" t="s">
        <v>144</v>
      </c>
      <c r="C9" t="s">
        <v>148</v>
      </c>
    </row>
    <row r="10" spans="1:4" x14ac:dyDescent="0.35">
      <c r="A10" t="s">
        <v>136</v>
      </c>
      <c r="B10" t="s">
        <v>145</v>
      </c>
      <c r="C10" t="s">
        <v>48</v>
      </c>
    </row>
    <row r="11" spans="1:4" x14ac:dyDescent="0.35">
      <c r="A11" t="s">
        <v>137</v>
      </c>
      <c r="B11" t="s">
        <v>146</v>
      </c>
      <c r="C11" t="s">
        <v>151</v>
      </c>
    </row>
    <row r="12" spans="1:4" x14ac:dyDescent="0.35">
      <c r="A12" t="s">
        <v>152</v>
      </c>
      <c r="B12" t="s">
        <v>140</v>
      </c>
      <c r="C12" t="s">
        <v>147</v>
      </c>
    </row>
    <row r="13" spans="1:4" x14ac:dyDescent="0.35">
      <c r="A13" t="s">
        <v>153</v>
      </c>
      <c r="B13" t="s">
        <v>116</v>
      </c>
      <c r="C13" t="s">
        <v>150</v>
      </c>
    </row>
    <row r="14" spans="1:4" x14ac:dyDescent="0.35">
      <c r="A14" t="s">
        <v>154</v>
      </c>
      <c r="B14" t="s">
        <v>162</v>
      </c>
      <c r="C14" t="s">
        <v>167</v>
      </c>
    </row>
    <row r="15" spans="1:4" x14ac:dyDescent="0.35">
      <c r="A15" t="s">
        <v>155</v>
      </c>
      <c r="B15" t="s">
        <v>163</v>
      </c>
      <c r="C15" t="s">
        <v>148</v>
      </c>
    </row>
    <row r="16" spans="1:4" x14ac:dyDescent="0.35">
      <c r="A16" t="s">
        <v>156</v>
      </c>
      <c r="B16" t="s">
        <v>164</v>
      </c>
      <c r="C16" t="s">
        <v>48</v>
      </c>
    </row>
    <row r="17" spans="1:3" x14ac:dyDescent="0.35">
      <c r="A17" t="s">
        <v>157</v>
      </c>
      <c r="B17" t="s">
        <v>115</v>
      </c>
      <c r="C17" t="s">
        <v>168</v>
      </c>
    </row>
    <row r="18" spans="1:3" x14ac:dyDescent="0.35">
      <c r="A18" t="s">
        <v>158</v>
      </c>
      <c r="B18" t="s">
        <v>165</v>
      </c>
      <c r="C18" t="s">
        <v>167</v>
      </c>
    </row>
    <row r="19" spans="1:3" x14ac:dyDescent="0.35">
      <c r="A19" t="s">
        <v>159</v>
      </c>
      <c r="B19" t="s">
        <v>166</v>
      </c>
      <c r="C19" t="s">
        <v>169</v>
      </c>
    </row>
    <row r="20" spans="1:3" x14ac:dyDescent="0.35">
      <c r="A20" t="s">
        <v>160</v>
      </c>
      <c r="B20" t="s">
        <v>115</v>
      </c>
      <c r="C20" t="s">
        <v>168</v>
      </c>
    </row>
    <row r="21" spans="1:3" x14ac:dyDescent="0.35">
      <c r="A21" t="s">
        <v>161</v>
      </c>
      <c r="B21" t="s">
        <v>116</v>
      </c>
      <c r="C21" t="s">
        <v>150</v>
      </c>
    </row>
  </sheetData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533A2D-6A45-407C-829E-DCB65F1DBBB1}">
  <sheetPr codeName="Sheet29"/>
  <dimension ref="A1:D21"/>
  <sheetViews>
    <sheetView zoomScale="190" zoomScaleNormal="190" workbookViewId="0">
      <selection activeCell="B2" sqref="B2"/>
    </sheetView>
  </sheetViews>
  <sheetFormatPr defaultRowHeight="14.5" x14ac:dyDescent="0.35"/>
  <cols>
    <col min="1" max="1" width="26.90625" bestFit="1" customWidth="1"/>
    <col min="2" max="2" width="9.7265625" bestFit="1" customWidth="1"/>
    <col min="3" max="3" width="9.453125" bestFit="1" customWidth="1"/>
    <col min="4" max="4" width="7.453125" bestFit="1" customWidth="1"/>
  </cols>
  <sheetData>
    <row r="1" spans="1:4" x14ac:dyDescent="0.35">
      <c r="B1" t="s">
        <v>170</v>
      </c>
      <c r="C1" t="s">
        <v>171</v>
      </c>
      <c r="D1" t="s">
        <v>36</v>
      </c>
    </row>
    <row r="2" spans="1:4" x14ac:dyDescent="0.35">
      <c r="A2" t="s">
        <v>117</v>
      </c>
    </row>
    <row r="3" spans="1:4" x14ac:dyDescent="0.35">
      <c r="A3" t="s">
        <v>118</v>
      </c>
    </row>
    <row r="4" spans="1:4" x14ac:dyDescent="0.35">
      <c r="A4" t="s">
        <v>172</v>
      </c>
    </row>
    <row r="5" spans="1:4" x14ac:dyDescent="0.35">
      <c r="A5" t="s">
        <v>119</v>
      </c>
    </row>
    <row r="6" spans="1:4" x14ac:dyDescent="0.35">
      <c r="A6" t="s">
        <v>120</v>
      </c>
    </row>
    <row r="7" spans="1:4" x14ac:dyDescent="0.35">
      <c r="A7" t="s">
        <v>173</v>
      </c>
    </row>
    <row r="8" spans="1:4" x14ac:dyDescent="0.35">
      <c r="A8" t="s">
        <v>121</v>
      </c>
    </row>
    <row r="9" spans="1:4" x14ac:dyDescent="0.35">
      <c r="A9" t="s">
        <v>122</v>
      </c>
    </row>
    <row r="10" spans="1:4" x14ac:dyDescent="0.35">
      <c r="A10" t="s">
        <v>123</v>
      </c>
    </row>
    <row r="11" spans="1:4" x14ac:dyDescent="0.35">
      <c r="A11" t="s">
        <v>124</v>
      </c>
    </row>
    <row r="12" spans="1:4" x14ac:dyDescent="0.35">
      <c r="A12" t="s">
        <v>174</v>
      </c>
    </row>
    <row r="13" spans="1:4" x14ac:dyDescent="0.35">
      <c r="A13" t="s">
        <v>175</v>
      </c>
    </row>
    <row r="14" spans="1:4" x14ac:dyDescent="0.35">
      <c r="A14" t="s">
        <v>176</v>
      </c>
    </row>
    <row r="15" spans="1:4" x14ac:dyDescent="0.35">
      <c r="A15" t="s">
        <v>125</v>
      </c>
    </row>
    <row r="16" spans="1:4" x14ac:dyDescent="0.35">
      <c r="A16" t="s">
        <v>126</v>
      </c>
    </row>
    <row r="17" spans="1:1" x14ac:dyDescent="0.35">
      <c r="A17" t="s">
        <v>177</v>
      </c>
    </row>
    <row r="18" spans="1:1" x14ac:dyDescent="0.35">
      <c r="A18" t="s">
        <v>127</v>
      </c>
    </row>
    <row r="19" spans="1:1" x14ac:dyDescent="0.35">
      <c r="A19" t="s">
        <v>178</v>
      </c>
    </row>
    <row r="20" spans="1:1" x14ac:dyDescent="0.35">
      <c r="A20" t="s">
        <v>179</v>
      </c>
    </row>
    <row r="21" spans="1:1" x14ac:dyDescent="0.35">
      <c r="A21" t="s">
        <v>180</v>
      </c>
    </row>
  </sheetData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057759-EDE0-453F-8B4A-E89C75B69BC9}">
  <sheetPr codeName="Sheet30"/>
  <dimension ref="A1:D21"/>
  <sheetViews>
    <sheetView zoomScale="190" zoomScaleNormal="190" workbookViewId="0">
      <selection activeCell="C4" sqref="C4"/>
    </sheetView>
  </sheetViews>
  <sheetFormatPr defaultRowHeight="14.5" x14ac:dyDescent="0.35"/>
  <cols>
    <col min="1" max="1" width="26.90625" bestFit="1" customWidth="1"/>
    <col min="2" max="2" width="9.7265625" bestFit="1" customWidth="1"/>
    <col min="3" max="3" width="9.36328125" customWidth="1"/>
    <col min="4" max="4" width="7.453125" bestFit="1" customWidth="1"/>
  </cols>
  <sheetData>
    <row r="1" spans="1:4" x14ac:dyDescent="0.35">
      <c r="B1" t="s">
        <v>170</v>
      </c>
      <c r="C1" t="s">
        <v>171</v>
      </c>
      <c r="D1" t="s">
        <v>36</v>
      </c>
    </row>
    <row r="2" spans="1:4" x14ac:dyDescent="0.35">
      <c r="A2" t="s">
        <v>117</v>
      </c>
    </row>
    <row r="3" spans="1:4" x14ac:dyDescent="0.35">
      <c r="A3" t="s">
        <v>118</v>
      </c>
    </row>
    <row r="4" spans="1:4" x14ac:dyDescent="0.35">
      <c r="A4" t="s">
        <v>172</v>
      </c>
    </row>
    <row r="5" spans="1:4" x14ac:dyDescent="0.35">
      <c r="A5" t="s">
        <v>119</v>
      </c>
    </row>
    <row r="6" spans="1:4" x14ac:dyDescent="0.35">
      <c r="A6" t="s">
        <v>120</v>
      </c>
    </row>
    <row r="7" spans="1:4" x14ac:dyDescent="0.35">
      <c r="A7" t="s">
        <v>173</v>
      </c>
    </row>
    <row r="8" spans="1:4" x14ac:dyDescent="0.35">
      <c r="A8" t="s">
        <v>121</v>
      </c>
    </row>
    <row r="9" spans="1:4" x14ac:dyDescent="0.35">
      <c r="A9" t="s">
        <v>122</v>
      </c>
    </row>
    <row r="10" spans="1:4" x14ac:dyDescent="0.35">
      <c r="A10" t="s">
        <v>123</v>
      </c>
    </row>
    <row r="11" spans="1:4" x14ac:dyDescent="0.35">
      <c r="A11" t="s">
        <v>124</v>
      </c>
    </row>
    <row r="12" spans="1:4" x14ac:dyDescent="0.35">
      <c r="A12" t="s">
        <v>174</v>
      </c>
    </row>
    <row r="13" spans="1:4" x14ac:dyDescent="0.35">
      <c r="A13" t="s">
        <v>175</v>
      </c>
    </row>
    <row r="14" spans="1:4" x14ac:dyDescent="0.35">
      <c r="A14" t="s">
        <v>176</v>
      </c>
    </row>
    <row r="15" spans="1:4" x14ac:dyDescent="0.35">
      <c r="A15" t="s">
        <v>125</v>
      </c>
    </row>
    <row r="16" spans="1:4" x14ac:dyDescent="0.35">
      <c r="A16" t="s">
        <v>126</v>
      </c>
    </row>
    <row r="17" spans="1:1" x14ac:dyDescent="0.35">
      <c r="A17" t="s">
        <v>177</v>
      </c>
    </row>
    <row r="18" spans="1:1" x14ac:dyDescent="0.35">
      <c r="A18" t="s">
        <v>127</v>
      </c>
    </row>
    <row r="19" spans="1:1" x14ac:dyDescent="0.35">
      <c r="A19" t="s">
        <v>178</v>
      </c>
    </row>
    <row r="20" spans="1:1" x14ac:dyDescent="0.35">
      <c r="A20" t="s">
        <v>179</v>
      </c>
    </row>
    <row r="21" spans="1:1" x14ac:dyDescent="0.35">
      <c r="A21" t="s">
        <v>180</v>
      </c>
    </row>
  </sheetData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B047C6-56A2-4143-A724-93C599B10B1E}">
  <sheetPr codeName="Sheet34"/>
  <dimension ref="A1:E21"/>
  <sheetViews>
    <sheetView zoomScale="175" zoomScaleNormal="175" workbookViewId="0">
      <selection activeCell="A5" sqref="A5"/>
    </sheetView>
  </sheetViews>
  <sheetFormatPr defaultRowHeight="14.5" x14ac:dyDescent="0.35"/>
  <cols>
    <col min="1" max="1" width="26.90625" bestFit="1" customWidth="1"/>
    <col min="4" max="4" width="18.54296875" bestFit="1" customWidth="1"/>
  </cols>
  <sheetData>
    <row r="1" spans="1:5" x14ac:dyDescent="0.35">
      <c r="A1" t="s">
        <v>181</v>
      </c>
      <c r="D1" t="s">
        <v>182</v>
      </c>
      <c r="E1" s="1"/>
    </row>
    <row r="2" spans="1:5" x14ac:dyDescent="0.35">
      <c r="A2" t="s">
        <v>117</v>
      </c>
    </row>
    <row r="3" spans="1:5" x14ac:dyDescent="0.35">
      <c r="A3" t="s">
        <v>118</v>
      </c>
    </row>
    <row r="4" spans="1:5" x14ac:dyDescent="0.35">
      <c r="A4" t="s">
        <v>172</v>
      </c>
    </row>
    <row r="5" spans="1:5" x14ac:dyDescent="0.35">
      <c r="A5" t="s">
        <v>119</v>
      </c>
    </row>
    <row r="6" spans="1:5" x14ac:dyDescent="0.35">
      <c r="A6" t="s">
        <v>120</v>
      </c>
    </row>
    <row r="7" spans="1:5" x14ac:dyDescent="0.35">
      <c r="A7" t="s">
        <v>173</v>
      </c>
    </row>
    <row r="8" spans="1:5" x14ac:dyDescent="0.35">
      <c r="A8" t="s">
        <v>121</v>
      </c>
    </row>
    <row r="9" spans="1:5" x14ac:dyDescent="0.35">
      <c r="A9" t="s">
        <v>122</v>
      </c>
    </row>
    <row r="10" spans="1:5" x14ac:dyDescent="0.35">
      <c r="A10" t="s">
        <v>123</v>
      </c>
    </row>
    <row r="11" spans="1:5" x14ac:dyDescent="0.35">
      <c r="A11" t="s">
        <v>124</v>
      </c>
    </row>
    <row r="12" spans="1:5" x14ac:dyDescent="0.35">
      <c r="A12" t="s">
        <v>174</v>
      </c>
    </row>
    <row r="13" spans="1:5" x14ac:dyDescent="0.35">
      <c r="A13" t="s">
        <v>175</v>
      </c>
    </row>
    <row r="14" spans="1:5" x14ac:dyDescent="0.35">
      <c r="A14" t="s">
        <v>176</v>
      </c>
    </row>
    <row r="15" spans="1:5" x14ac:dyDescent="0.35">
      <c r="A15" t="s">
        <v>125</v>
      </c>
    </row>
    <row r="16" spans="1:5" x14ac:dyDescent="0.35">
      <c r="A16" t="s">
        <v>126</v>
      </c>
    </row>
    <row r="17" spans="1:1" x14ac:dyDescent="0.35">
      <c r="A17" t="s">
        <v>177</v>
      </c>
    </row>
    <row r="18" spans="1:1" x14ac:dyDescent="0.35">
      <c r="A18" t="s">
        <v>127</v>
      </c>
    </row>
    <row r="19" spans="1:1" x14ac:dyDescent="0.35">
      <c r="A19" t="s">
        <v>178</v>
      </c>
    </row>
    <row r="20" spans="1:1" x14ac:dyDescent="0.35">
      <c r="A20" t="s">
        <v>179</v>
      </c>
    </row>
    <row r="21" spans="1:1" x14ac:dyDescent="0.35">
      <c r="A21" t="s">
        <v>180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29</vt:i4>
      </vt:variant>
    </vt:vector>
  </HeadingPairs>
  <TitlesOfParts>
    <vt:vector size="29" baseType="lpstr">
      <vt:lpstr>001 - Remove Formatting</vt:lpstr>
      <vt:lpstr>002 - Autofit Columns</vt:lpstr>
      <vt:lpstr>003 - Sum and Difference</vt:lpstr>
      <vt:lpstr>004 - Get the Net Income 1</vt:lpstr>
      <vt:lpstr>005 - Remove $</vt:lpstr>
      <vt:lpstr>006 - Get Net Income 2</vt:lpstr>
      <vt:lpstr>007 - Calculate change %</vt:lpstr>
      <vt:lpstr>008 - Avg Change %</vt:lpstr>
      <vt:lpstr>009 - Sort by Country</vt:lpstr>
      <vt:lpstr>010 - Finding Stable or Growth</vt:lpstr>
      <vt:lpstr>011 - Show by Remaks, Country</vt:lpstr>
      <vt:lpstr>012 - Conditionaly Color Remark</vt:lpstr>
      <vt:lpstr>012 - Conditionaly Color Re (2)</vt:lpstr>
      <vt:lpstr>013 - Show Up Down Arrows</vt:lpstr>
      <vt:lpstr>014 - Summarize Growth &amp; Stable</vt:lpstr>
      <vt:lpstr>015 - Concatenate Headings</vt:lpstr>
      <vt:lpstr>016 - Get Change % (Table)</vt:lpstr>
      <vt:lpstr>017 - Get Change % (Table) (2)</vt:lpstr>
      <vt:lpstr>018 - &lt;=  0 Red else Green</vt:lpstr>
      <vt:lpstr>019 - Color in First table</vt:lpstr>
      <vt:lpstr>020 - Lookup Price</vt:lpstr>
      <vt:lpstr>021 - Lookup Dept Name</vt:lpstr>
      <vt:lpstr>022 - 2 to 1 Table Lookup</vt:lpstr>
      <vt:lpstr>023 - Create Table</vt:lpstr>
      <vt:lpstr>024 - Lookup from other Sheet</vt:lpstr>
      <vt:lpstr>025 - Combine Names</vt:lpstr>
      <vt:lpstr>026 - Split Names</vt:lpstr>
      <vt:lpstr>027 -Show Country in Caps</vt:lpstr>
      <vt:lpstr>028 - Cricketers in dropdown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Mohammed Raza</dc:creator>
  <cp:lastModifiedBy>Mohammed Raza</cp:lastModifiedBy>
  <dcterms:created xsi:type="dcterms:W3CDTF">2015-06-05T18:17:20Z</dcterms:created>
  <dcterms:modified xsi:type="dcterms:W3CDTF">2025-12-08T07:30:15Z</dcterms:modified>
</cp:coreProperties>
</file>