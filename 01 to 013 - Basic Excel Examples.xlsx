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Backup 1\Google Drive Transfer Files\Trainings\Thermax\20251208 - Basic Excel - 4 Hrs Thermax online SK\Basic Excel\"/>
    </mc:Choice>
  </mc:AlternateContent>
  <xr:revisionPtr revIDLastSave="0" documentId="13_ncr:1_{1C3AD385-D182-480D-BDA8-BEDC990FEF81}" xr6:coauthVersionLast="47" xr6:coauthVersionMax="47" xr10:uidLastSave="{00000000-0000-0000-0000-000000000000}"/>
  <bookViews>
    <workbookView xWindow="-110" yWindow="-110" windowWidth="19420" windowHeight="10300" firstSheet="13" activeTab="15" xr2:uid="{00000000-000D-0000-FFFF-FFFF00000000}"/>
  </bookViews>
  <sheets>
    <sheet name="01 Remove Formatting" sheetId="1" r:id="rId1"/>
    <sheet name="02 Autofit Columns" sheetId="3" r:id="rId2"/>
    <sheet name="03 Sum and Difference" sheetId="5" r:id="rId3"/>
    <sheet name="04 Get the Net Income 1" sheetId="7" r:id="rId4"/>
    <sheet name="05 Sort by Country" sheetId="15" r:id="rId5"/>
    <sheet name="06 Finding Stable or Growth" sheetId="16" r:id="rId6"/>
    <sheet name="07 Conditionaly Color Remark" sheetId="18" r:id="rId7"/>
    <sheet name="08 Lookup Price" sheetId="25" r:id="rId8"/>
    <sheet name="09 Lookup Dept Name" sheetId="28" r:id="rId9"/>
    <sheet name="10 Combine Names" sheetId="36" r:id="rId10"/>
    <sheet name="10 Combine Names (2)" sheetId="43" r:id="rId11"/>
    <sheet name="11 Split Names" sheetId="37" r:id="rId12"/>
    <sheet name="11 Split Names (2)" sheetId="44" r:id="rId13"/>
    <sheet name="12 Show Country in Caps" sheetId="38" r:id="rId14"/>
    <sheet name="12 Show Country in Caps (2)" sheetId="45" r:id="rId15"/>
    <sheet name="13 Cricketers in dropdown" sheetId="4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5" l="1"/>
  <c r="B3" i="45"/>
  <c r="C3" i="45"/>
  <c r="D3" i="45"/>
  <c r="B4" i="45"/>
  <c r="C4" i="45"/>
  <c r="D4" i="45"/>
  <c r="B5" i="45"/>
  <c r="C5" i="45"/>
  <c r="D5" i="45"/>
  <c r="B6" i="45"/>
  <c r="C6" i="45"/>
  <c r="D6" i="45"/>
  <c r="B7" i="45"/>
  <c r="C7" i="45"/>
  <c r="D7" i="45"/>
  <c r="B8" i="45"/>
  <c r="C8" i="45"/>
  <c r="D8" i="45"/>
  <c r="B9" i="45"/>
  <c r="C9" i="45"/>
  <c r="D9" i="45"/>
  <c r="B10" i="45"/>
  <c r="C10" i="45"/>
  <c r="D10" i="45"/>
  <c r="B11" i="45"/>
  <c r="C11" i="45"/>
  <c r="D11" i="45"/>
  <c r="B12" i="45"/>
  <c r="C12" i="45"/>
  <c r="D12" i="45"/>
  <c r="B13" i="45"/>
  <c r="C13" i="45"/>
  <c r="D13" i="45"/>
  <c r="B14" i="45"/>
  <c r="C14" i="45"/>
  <c r="D14" i="45"/>
  <c r="B15" i="45"/>
  <c r="C15" i="45"/>
  <c r="D15" i="45"/>
  <c r="B16" i="45"/>
  <c r="C16" i="45"/>
  <c r="D16" i="45"/>
  <c r="B17" i="45"/>
  <c r="C17" i="45"/>
  <c r="D17" i="45"/>
  <c r="B18" i="45"/>
  <c r="C18" i="45"/>
  <c r="D18" i="45"/>
  <c r="B19" i="45"/>
  <c r="C19" i="45"/>
  <c r="D19" i="45"/>
  <c r="B20" i="45"/>
  <c r="C20" i="45"/>
  <c r="D20" i="45"/>
  <c r="B21" i="45"/>
  <c r="C21" i="45"/>
  <c r="D21" i="45"/>
  <c r="B2" i="45"/>
  <c r="D2" i="45"/>
  <c r="B3" i="44"/>
  <c r="C3" i="44"/>
  <c r="D3" i="44"/>
  <c r="B4" i="44"/>
  <c r="C4" i="44"/>
  <c r="D4" i="44"/>
  <c r="B5" i="44"/>
  <c r="C5" i="44"/>
  <c r="D5" i="44"/>
  <c r="B6" i="44"/>
  <c r="C6" i="44"/>
  <c r="D6" i="44"/>
  <c r="B7" i="44"/>
  <c r="C7" i="44"/>
  <c r="D7" i="44"/>
  <c r="B8" i="44"/>
  <c r="C8" i="44"/>
  <c r="D8" i="44"/>
  <c r="B9" i="44"/>
  <c r="C9" i="44"/>
  <c r="D9" i="44"/>
  <c r="B10" i="44"/>
  <c r="C10" i="44"/>
  <c r="D10" i="44"/>
  <c r="B11" i="44"/>
  <c r="C11" i="44"/>
  <c r="D11" i="44"/>
  <c r="B12" i="44"/>
  <c r="C12" i="44"/>
  <c r="D12" i="44"/>
  <c r="B13" i="44"/>
  <c r="C13" i="44"/>
  <c r="D13" i="44"/>
  <c r="B14" i="44"/>
  <c r="C14" i="44"/>
  <c r="D14" i="44"/>
  <c r="B15" i="44"/>
  <c r="C15" i="44"/>
  <c r="D15" i="44"/>
  <c r="B16" i="44"/>
  <c r="C16" i="44"/>
  <c r="D16" i="44"/>
  <c r="B17" i="44"/>
  <c r="C17" i="44"/>
  <c r="D17" i="44"/>
  <c r="B18" i="44"/>
  <c r="C18" i="44"/>
  <c r="D18" i="44"/>
  <c r="B19" i="44"/>
  <c r="C19" i="44"/>
  <c r="D19" i="44"/>
  <c r="B20" i="44"/>
  <c r="C20" i="44"/>
  <c r="D20" i="44"/>
  <c r="B21" i="44"/>
  <c r="C21" i="44"/>
  <c r="D21" i="44"/>
  <c r="D2" i="44"/>
  <c r="C2" i="44"/>
  <c r="B2" i="44"/>
  <c r="D2" i="43"/>
  <c r="D2" i="28"/>
  <c r="D3" i="28"/>
  <c r="D4" i="28"/>
  <c r="D5" i="28"/>
  <c r="D6" i="28"/>
  <c r="D7" i="28"/>
  <c r="D8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D29" i="28"/>
  <c r="D30" i="28"/>
  <c r="D31" i="28"/>
  <c r="E2" i="25"/>
  <c r="E3" i="25"/>
  <c r="E4" i="25"/>
  <c r="E5" i="25"/>
  <c r="E6" i="25"/>
  <c r="E7" i="25"/>
  <c r="E8" i="25"/>
  <c r="E9" i="25"/>
  <c r="D3" i="25"/>
  <c r="D4" i="25"/>
  <c r="D5" i="25"/>
  <c r="D6" i="25"/>
  <c r="D7" i="25"/>
  <c r="D8" i="25"/>
  <c r="D9" i="25"/>
  <c r="D2" i="25"/>
  <c r="D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B27" i="7"/>
  <c r="B6" i="7"/>
  <c r="B9" i="7"/>
  <c r="B20" i="7"/>
  <c r="B25" i="7"/>
  <c r="B28" i="5"/>
  <c r="B10" i="5"/>
  <c r="B6" i="5"/>
  <c r="B9" i="5"/>
  <c r="B21" i="5"/>
  <c r="B26" i="5"/>
</calcChain>
</file>

<file path=xl/sharedStrings.xml><?xml version="1.0" encoding="utf-8"?>
<sst xmlns="http://schemas.openxmlformats.org/spreadsheetml/2006/main" count="673" uniqueCount="260">
  <si>
    <t>Category</t>
  </si>
  <si>
    <t>Item Name</t>
  </si>
  <si>
    <t>Revenue</t>
  </si>
  <si>
    <t>Sales</t>
  </si>
  <si>
    <t>Services Revenue</t>
  </si>
  <si>
    <t>Other Revenue</t>
  </si>
  <si>
    <t>Cost of Goods Sold</t>
  </si>
  <si>
    <t>Gross Profit</t>
  </si>
  <si>
    <t>Operating Expenses</t>
  </si>
  <si>
    <t>Salaries and Wages</t>
  </si>
  <si>
    <t>Rent and Lease</t>
  </si>
  <si>
    <t>Utilities</t>
  </si>
  <si>
    <t>Marketing and Advertising</t>
  </si>
  <si>
    <t>Depreciation</t>
  </si>
  <si>
    <t>Other Operating Expenses</t>
  </si>
  <si>
    <t>Operating Income</t>
  </si>
  <si>
    <t>Non-Operating Income</t>
  </si>
  <si>
    <t>Interest Income</t>
  </si>
  <si>
    <t>Other Non-Operating Income</t>
  </si>
  <si>
    <t>Non-Operating Expenses</t>
  </si>
  <si>
    <t>Interest Expenses</t>
  </si>
  <si>
    <t>Taxes</t>
  </si>
  <si>
    <t>Other Non-Operating Expenses</t>
  </si>
  <si>
    <t>Net Income</t>
  </si>
  <si>
    <t>Amount ($)</t>
  </si>
  <si>
    <t>Sub Total A</t>
  </si>
  <si>
    <t>Sub Total B</t>
  </si>
  <si>
    <t>Gross Profit C = A - B</t>
  </si>
  <si>
    <t>Sub Total D</t>
  </si>
  <si>
    <t>Sub Total E</t>
  </si>
  <si>
    <t>Net Income F = C - D + E</t>
  </si>
  <si>
    <t>Country</t>
  </si>
  <si>
    <t>Sales 2023 ($)</t>
  </si>
  <si>
    <t>Sales 2024 ($)</t>
  </si>
  <si>
    <t>United States</t>
  </si>
  <si>
    <t>China</t>
  </si>
  <si>
    <t>Japan</t>
  </si>
  <si>
    <t>Germany</t>
  </si>
  <si>
    <t>United Kingdom</t>
  </si>
  <si>
    <t>France</t>
  </si>
  <si>
    <t>India</t>
  </si>
  <si>
    <t>Brazil</t>
  </si>
  <si>
    <t>Canada</t>
  </si>
  <si>
    <t>Australia</t>
  </si>
  <si>
    <t>South Korea</t>
  </si>
  <si>
    <t>Italy</t>
  </si>
  <si>
    <t>Spain</t>
  </si>
  <si>
    <t>Mexico</t>
  </si>
  <si>
    <t>Netherlands</t>
  </si>
  <si>
    <t>Turkey</t>
  </si>
  <si>
    <t>Switzerland</t>
  </si>
  <si>
    <t>Russia</t>
  </si>
  <si>
    <t>Sweden</t>
  </si>
  <si>
    <t>Saudi Arabia</t>
  </si>
  <si>
    <t>If Change is less than equal to 7% write Stable if more than write Growth</t>
  </si>
  <si>
    <t>Growth</t>
  </si>
  <si>
    <t>Stable</t>
  </si>
  <si>
    <t>Remarks</t>
  </si>
  <si>
    <t>Product</t>
  </si>
  <si>
    <t>Order ID</t>
  </si>
  <si>
    <t>Price per Unit</t>
  </si>
  <si>
    <t>Amount</t>
  </si>
  <si>
    <t>Employee ID</t>
  </si>
  <si>
    <t>Employee Name</t>
  </si>
  <si>
    <t>Department ID</t>
  </si>
  <si>
    <t>Rajesh Kumar</t>
  </si>
  <si>
    <t>Priya Singh</t>
  </si>
  <si>
    <t>Sanjay Verma</t>
  </si>
  <si>
    <t>Neha Sharma</t>
  </si>
  <si>
    <t>Department Name</t>
  </si>
  <si>
    <t>Marketing</t>
  </si>
  <si>
    <t>Finance</t>
  </si>
  <si>
    <t>West</t>
  </si>
  <si>
    <t>South</t>
  </si>
  <si>
    <t>Virat Kohli (India)</t>
  </si>
  <si>
    <t>Steve Smith (Australia)</t>
  </si>
  <si>
    <t>Joe Root (England)</t>
  </si>
  <si>
    <t>Babar Azam (Pakistan)</t>
  </si>
  <si>
    <t>Jasprit Bumrah (India)</t>
  </si>
  <si>
    <t>Ben Stokes (England)</t>
  </si>
  <si>
    <t>David Warner (Australia)</t>
  </si>
  <si>
    <t>Rashid Khan (Afghanistan)</t>
  </si>
  <si>
    <t>Eoin Morgan (England)</t>
  </si>
  <si>
    <t>Pat Cummins (Australia)</t>
  </si>
  <si>
    <t>Mushfiqur Rahim (Bangladesh)</t>
  </si>
  <si>
    <t>Virat</t>
  </si>
  <si>
    <t>Steve</t>
  </si>
  <si>
    <t>Kane</t>
  </si>
  <si>
    <t>Joe</t>
  </si>
  <si>
    <t>Babar</t>
  </si>
  <si>
    <t>Quinton</t>
  </si>
  <si>
    <t>Jasprit</t>
  </si>
  <si>
    <t>Ben</t>
  </si>
  <si>
    <t>David</t>
  </si>
  <si>
    <t>Rashid</t>
  </si>
  <si>
    <t>Kohli</t>
  </si>
  <si>
    <t>Smith</t>
  </si>
  <si>
    <t>New</t>
  </si>
  <si>
    <t>Root</t>
  </si>
  <si>
    <t>Azam</t>
  </si>
  <si>
    <t>Bumrah</t>
  </si>
  <si>
    <t>Stokes</t>
  </si>
  <si>
    <t>Warner</t>
  </si>
  <si>
    <t>Khan</t>
  </si>
  <si>
    <t>New Zealand</t>
  </si>
  <si>
    <t>England</t>
  </si>
  <si>
    <t>Pakistan</t>
  </si>
  <si>
    <t>South Africa</t>
  </si>
  <si>
    <t>Afghanistan</t>
  </si>
  <si>
    <t>Ross</t>
  </si>
  <si>
    <t>Faf</t>
  </si>
  <si>
    <t>Shakib</t>
  </si>
  <si>
    <t>Eoin</t>
  </si>
  <si>
    <t>Pat</t>
  </si>
  <si>
    <t>Shai</t>
  </si>
  <si>
    <t>Mushfiqur</t>
  </si>
  <si>
    <t>Lasith</t>
  </si>
  <si>
    <t>Jason</t>
  </si>
  <si>
    <t>Kagiso</t>
  </si>
  <si>
    <t>Hasan</t>
  </si>
  <si>
    <t>Morgan</t>
  </si>
  <si>
    <t>Cummins</t>
  </si>
  <si>
    <t>Rahim</t>
  </si>
  <si>
    <t>Sri</t>
  </si>
  <si>
    <t>Bangladesh</t>
  </si>
  <si>
    <t>West Indies</t>
  </si>
  <si>
    <t>Sri Lanka</t>
  </si>
  <si>
    <t>First Name</t>
  </si>
  <si>
    <t>Last Name</t>
  </si>
  <si>
    <t>Kane New (New Zealand)</t>
  </si>
  <si>
    <t>Quinton South (South Africa)</t>
  </si>
  <si>
    <t>Ross New (New Zealand)</t>
  </si>
  <si>
    <t>Faf South (South Africa)</t>
  </si>
  <si>
    <t>Shakib Hasan (Bangladesh)</t>
  </si>
  <si>
    <t>Shai West (West Indies)</t>
  </si>
  <si>
    <t>Lasith Sri (Sri Lanka)</t>
  </si>
  <si>
    <t>Jason West (West Indies)</t>
  </si>
  <si>
    <t>Kagiso South (South Africa)</t>
  </si>
  <si>
    <t xml:space="preserve">Cricketers </t>
  </si>
  <si>
    <t>Show Criketers in List</t>
  </si>
  <si>
    <t xml:space="preserve">                Default Price</t>
  </si>
  <si>
    <t>Samsung Galaxy S23</t>
  </si>
  <si>
    <t>Apple iPhone 14 Pro</t>
  </si>
  <si>
    <t>OnePlus 11</t>
  </si>
  <si>
    <t>Xiaomi Redmi Note 12</t>
  </si>
  <si>
    <t>Google Pixel 7a</t>
  </si>
  <si>
    <t>Vivo V27 Pro</t>
  </si>
  <si>
    <t>Oppo Reno 10</t>
  </si>
  <si>
    <t>Motorola Edge 40</t>
  </si>
  <si>
    <t xml:space="preserve">                Quantity</t>
  </si>
  <si>
    <t>ORD-2001</t>
  </si>
  <si>
    <t>ORD-2002</t>
  </si>
  <si>
    <t>ORD-2003</t>
  </si>
  <si>
    <t>ORD-2004</t>
  </si>
  <si>
    <t>ORD-2005</t>
  </si>
  <si>
    <t>ORD-2006</t>
  </si>
  <si>
    <t>ORD-2007</t>
  </si>
  <si>
    <t>ORD-2008</t>
  </si>
  <si>
    <t xml:space="preserve">    Department ID</t>
  </si>
  <si>
    <t>Ankit Mehta</t>
  </si>
  <si>
    <t>Swati Nair</t>
  </si>
  <si>
    <t>Deepak Rao</t>
  </si>
  <si>
    <t>Manisha Patil</t>
  </si>
  <si>
    <t>Vikram Joshi</t>
  </si>
  <si>
    <t>Ritu Desai</t>
  </si>
  <si>
    <t>Arun Mishra</t>
  </si>
  <si>
    <t>Pallavi Gupta</t>
  </si>
  <si>
    <t>Karan Malhotra</t>
  </si>
  <si>
    <t>Shweta Kulkarni</t>
  </si>
  <si>
    <t>Harish Iyer</t>
  </si>
  <si>
    <t>Divya Menon</t>
  </si>
  <si>
    <t>Rohan Shetty</t>
  </si>
  <si>
    <t>Anjali Tiwari</t>
  </si>
  <si>
    <t>Suraj Chauhan</t>
  </si>
  <si>
    <t>Varsha Jadhav</t>
  </si>
  <si>
    <t>Ashish Dubey</t>
  </si>
  <si>
    <t>Sneha Kapoor</t>
  </si>
  <si>
    <t>Ajay Rathod</t>
  </si>
  <si>
    <t>Komal Chawla</t>
  </si>
  <si>
    <t>Sachin Bhatt</t>
  </si>
  <si>
    <t>Mitali Shah</t>
  </si>
  <si>
    <t>Amit Khanna</t>
  </si>
  <si>
    <t>Naina Joshi</t>
  </si>
  <si>
    <t>Shivam Yadav</t>
  </si>
  <si>
    <t>Reema Bansal</t>
  </si>
  <si>
    <t>Alt EAF Edit  &gt; Clear &gt; Formatting</t>
  </si>
  <si>
    <t>select a single cell in a column</t>
  </si>
  <si>
    <t>shift + right arrow</t>
  </si>
  <si>
    <t>Ctrl + Space to select entire column</t>
  </si>
  <si>
    <t>Alt EAF to remove formatting</t>
  </si>
  <si>
    <t>Alt OCA to autofit column</t>
  </si>
  <si>
    <t>Ctrl + page down to navigate to Right sheet</t>
  </si>
  <si>
    <t>Ctrl + page up to navigate to Left sheet</t>
  </si>
  <si>
    <t>1. =sum( select the range) enter</t>
  </si>
  <si>
    <t>2. select the answer cell and press Alt + = then press enter to confirm</t>
  </si>
  <si>
    <t xml:space="preserve">3. Select the range and keep last cell empty now press Alt + = </t>
  </si>
  <si>
    <t>Ctrl + F to find</t>
  </si>
  <si>
    <t>click on format down arrow and choose format from cell</t>
  </si>
  <si>
    <t>Click on Find All then Ctrl + A close the find dialog</t>
  </si>
  <si>
    <t>Alt + = to fetch total in all selected cells</t>
  </si>
  <si>
    <t>Alt DS data sort</t>
  </si>
  <si>
    <t>Ctrl + shift + %5 for percetage format</t>
  </si>
  <si>
    <t>Alt OD for Conditional format</t>
  </si>
  <si>
    <t>F4 to fix the reference</t>
  </si>
  <si>
    <t>Answer</t>
  </si>
  <si>
    <t>Ctrl + E for flash fill</t>
  </si>
  <si>
    <t>E for example</t>
  </si>
  <si>
    <t>We have entered a sample answer in D2</t>
  </si>
  <si>
    <t>create a formula to calculate as shown in picture</t>
  </si>
  <si>
    <t>Window + Shift + S to take sceenshot</t>
  </si>
  <si>
    <t>Flash Fill</t>
  </si>
  <si>
    <t>Using Chat GPT</t>
  </si>
  <si>
    <t>we have entered sample answer in B2 till D2, create a excel formula for the same</t>
  </si>
  <si>
    <t>VIRAT</t>
  </si>
  <si>
    <t>STEVE</t>
  </si>
  <si>
    <t>KANE</t>
  </si>
  <si>
    <t>JOE</t>
  </si>
  <si>
    <t>BABAR</t>
  </si>
  <si>
    <t>QUINTON</t>
  </si>
  <si>
    <t>JASPRIT</t>
  </si>
  <si>
    <t>BEN</t>
  </si>
  <si>
    <t>DAVID</t>
  </si>
  <si>
    <t>KOHLI</t>
  </si>
  <si>
    <t>SMITH</t>
  </si>
  <si>
    <t>NEW</t>
  </si>
  <si>
    <t>ROOT</t>
  </si>
  <si>
    <t>AZAM</t>
  </si>
  <si>
    <t>SOUTH</t>
  </si>
  <si>
    <t>BUMRAH</t>
  </si>
  <si>
    <t>STOKES</t>
  </si>
  <si>
    <t>WARNER</t>
  </si>
  <si>
    <t>INDIA</t>
  </si>
  <si>
    <t>AUSTRALIA</t>
  </si>
  <si>
    <t>NEW ZEALAND</t>
  </si>
  <si>
    <t>ENGLAND</t>
  </si>
  <si>
    <t>PAKISTAN</t>
  </si>
  <si>
    <t>SOUTH AFRICA</t>
  </si>
  <si>
    <t>RASHID</t>
  </si>
  <si>
    <t>ROSS</t>
  </si>
  <si>
    <t>FAF</t>
  </si>
  <si>
    <t>SHAKIB</t>
  </si>
  <si>
    <t>EOIN</t>
  </si>
  <si>
    <t>PAT</t>
  </si>
  <si>
    <t>SHAI</t>
  </si>
  <si>
    <t>MUSHFIQUR</t>
  </si>
  <si>
    <t>LASITH</t>
  </si>
  <si>
    <t>JASON</t>
  </si>
  <si>
    <t>KAGISO</t>
  </si>
  <si>
    <t>KHAN</t>
  </si>
  <si>
    <t>HASAN</t>
  </si>
  <si>
    <t>MORGAN</t>
  </si>
  <si>
    <t>CUMMINS</t>
  </si>
  <si>
    <t>WEST</t>
  </si>
  <si>
    <t>RAHIM</t>
  </si>
  <si>
    <t>SRI</t>
  </si>
  <si>
    <t>AFGHANISTAN</t>
  </si>
  <si>
    <t>BANGLADESH</t>
  </si>
  <si>
    <t>WEST INDIES</t>
  </si>
  <si>
    <t>SRI LANKA</t>
  </si>
  <si>
    <t>Alt 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</si>
</sst>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9" fontId="0" fillId="3" borderId="0" xfId="1" applyFont="1" applyFill="1"/>
  </cellXfs>
  <cellStyles count="2">
    <cellStyle name="Normal" xfId="0" builtinId="0"/>
    <cellStyle name="Percent" xfId="1" builtinId="5"/>
  </cellStyles>
  <dxfs count="2"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</xdr:row>
      <xdr:rowOff>0</xdr:rowOff>
    </xdr:from>
    <xdr:to>
      <xdr:col>8</xdr:col>
      <xdr:colOff>218092</xdr:colOff>
      <xdr:row>12</xdr:row>
      <xdr:rowOff>72292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A308F4-2E5C-24E9-03D0-95B295E16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24654" y="928077"/>
          <a:ext cx="2660400" cy="1371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26"/>
  <sheetViews>
    <sheetView zoomScale="175" zoomScaleNormal="175" workbookViewId="0">
      <selection activeCell="A7" sqref="A1:B1048576"/>
    </sheetView>
  </sheetViews>
  <sheetFormatPr defaultRowHeight="14.5" x14ac:dyDescent="0.35"/>
  <cols>
    <col min="1" max="1" width="21.6328125" bestFit="1" customWidth="1"/>
    <col min="2" max="2" width="27" bestFit="1" customWidth="1"/>
    <col min="3" max="3" width="3.26953125" customWidth="1"/>
    <col min="4" max="6" width="8.81640625" customWidth="1"/>
  </cols>
  <sheetData>
    <row r="1" spans="1:5" x14ac:dyDescent="0.35">
      <c r="A1" t="s">
        <v>0</v>
      </c>
      <c r="B1" t="s">
        <v>1</v>
      </c>
      <c r="E1" t="s">
        <v>185</v>
      </c>
    </row>
    <row r="2" spans="1:5" x14ac:dyDescent="0.35">
      <c r="A2" t="s">
        <v>2</v>
      </c>
    </row>
    <row r="3" spans="1:5" x14ac:dyDescent="0.35">
      <c r="B3" t="s">
        <v>3</v>
      </c>
      <c r="E3" t="s">
        <v>186</v>
      </c>
    </row>
    <row r="4" spans="1:5" x14ac:dyDescent="0.35">
      <c r="B4" t="s">
        <v>4</v>
      </c>
      <c r="E4" t="s">
        <v>187</v>
      </c>
    </row>
    <row r="5" spans="1:5" x14ac:dyDescent="0.35">
      <c r="B5" t="s">
        <v>5</v>
      </c>
      <c r="E5" t="s">
        <v>188</v>
      </c>
    </row>
    <row r="6" spans="1:5" x14ac:dyDescent="0.35">
      <c r="A6" t="s">
        <v>6</v>
      </c>
      <c r="E6" t="s">
        <v>189</v>
      </c>
    </row>
    <row r="7" spans="1:5" x14ac:dyDescent="0.35">
      <c r="B7" t="s">
        <v>6</v>
      </c>
      <c r="E7" t="s">
        <v>190</v>
      </c>
    </row>
    <row r="8" spans="1:5" x14ac:dyDescent="0.35">
      <c r="B8" t="s">
        <v>7</v>
      </c>
    </row>
    <row r="9" spans="1:5" x14ac:dyDescent="0.35">
      <c r="A9" t="s">
        <v>8</v>
      </c>
    </row>
    <row r="10" spans="1:5" x14ac:dyDescent="0.35">
      <c r="B10" t="s">
        <v>9</v>
      </c>
    </row>
    <row r="11" spans="1:5" x14ac:dyDescent="0.35">
      <c r="B11" t="s">
        <v>10</v>
      </c>
    </row>
    <row r="12" spans="1:5" x14ac:dyDescent="0.35">
      <c r="B12" t="s">
        <v>11</v>
      </c>
    </row>
    <row r="13" spans="1:5" x14ac:dyDescent="0.35">
      <c r="B13" t="s">
        <v>12</v>
      </c>
    </row>
    <row r="14" spans="1:5" x14ac:dyDescent="0.35">
      <c r="B14" t="s">
        <v>13</v>
      </c>
    </row>
    <row r="15" spans="1:5" x14ac:dyDescent="0.35">
      <c r="B15" t="s">
        <v>14</v>
      </c>
    </row>
    <row r="16" spans="1:5" x14ac:dyDescent="0.35">
      <c r="A16" t="s">
        <v>15</v>
      </c>
    </row>
    <row r="17" spans="1:2" x14ac:dyDescent="0.35">
      <c r="B17" t="s">
        <v>15</v>
      </c>
    </row>
    <row r="18" spans="1:2" x14ac:dyDescent="0.35">
      <c r="A18" t="s">
        <v>16</v>
      </c>
    </row>
    <row r="19" spans="1:2" x14ac:dyDescent="0.35">
      <c r="B19" t="s">
        <v>17</v>
      </c>
    </row>
    <row r="20" spans="1:2" x14ac:dyDescent="0.35">
      <c r="B20" t="s">
        <v>18</v>
      </c>
    </row>
    <row r="21" spans="1:2" x14ac:dyDescent="0.35">
      <c r="A21" t="s">
        <v>19</v>
      </c>
    </row>
    <row r="22" spans="1:2" x14ac:dyDescent="0.35">
      <c r="B22" t="s">
        <v>20</v>
      </c>
    </row>
    <row r="23" spans="1:2" x14ac:dyDescent="0.35">
      <c r="B23" t="s">
        <v>21</v>
      </c>
    </row>
    <row r="24" spans="1:2" x14ac:dyDescent="0.35">
      <c r="B24" t="s">
        <v>22</v>
      </c>
    </row>
    <row r="25" spans="1:2" x14ac:dyDescent="0.35">
      <c r="A25" t="s">
        <v>23</v>
      </c>
    </row>
    <row r="26" spans="1:2" x14ac:dyDescent="0.35">
      <c r="B26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C0BB4-4773-48E8-A19B-13E0486D006E}">
  <sheetPr codeName="Sheet2"/>
  <dimension ref="A1:D26"/>
  <sheetViews>
    <sheetView zoomScale="175" zoomScaleNormal="175" workbookViewId="0">
      <selection activeCell="D6" sqref="D6"/>
    </sheetView>
  </sheetViews>
  <sheetFormatPr defaultRowHeight="14.5" x14ac:dyDescent="0.35"/>
  <cols>
    <col min="1" max="1" width="21.6328125" bestFit="1" customWidth="1"/>
    <col min="2" max="2" width="27" bestFit="1" customWidth="1"/>
    <col min="3" max="3" width="4.1796875" customWidth="1"/>
    <col min="4" max="6" width="8.81640625" customWidth="1"/>
  </cols>
  <sheetData>
    <row r="1" spans="1:4" x14ac:dyDescent="0.35">
      <c r="A1" t="s">
        <v>0</v>
      </c>
      <c r="B1" t="s">
        <v>1</v>
      </c>
    </row>
    <row r="2" spans="1:4" x14ac:dyDescent="0.35">
      <c r="A2" t="s">
        <v>2</v>
      </c>
    </row>
    <row r="3" spans="1:4" x14ac:dyDescent="0.35">
      <c r="B3" t="s">
        <v>3</v>
      </c>
      <c r="D3" t="s">
        <v>191</v>
      </c>
    </row>
    <row r="4" spans="1:4" x14ac:dyDescent="0.35">
      <c r="B4" t="s">
        <v>4</v>
      </c>
      <c r="D4" t="s">
        <v>192</v>
      </c>
    </row>
    <row r="5" spans="1:4" x14ac:dyDescent="0.35">
      <c r="B5" t="s">
        <v>5</v>
      </c>
    </row>
    <row r="6" spans="1:4" x14ac:dyDescent="0.35">
      <c r="A6" t="s">
        <v>6</v>
      </c>
    </row>
    <row r="7" spans="1:4" x14ac:dyDescent="0.35">
      <c r="B7" t="s">
        <v>6</v>
      </c>
    </row>
    <row r="8" spans="1:4" x14ac:dyDescent="0.35">
      <c r="B8" t="s">
        <v>7</v>
      </c>
    </row>
    <row r="9" spans="1:4" x14ac:dyDescent="0.35">
      <c r="A9" t="s">
        <v>8</v>
      </c>
    </row>
    <row r="10" spans="1:4" x14ac:dyDescent="0.35">
      <c r="B10" t="s">
        <v>9</v>
      </c>
    </row>
    <row r="11" spans="1:4" x14ac:dyDescent="0.35">
      <c r="B11" t="s">
        <v>10</v>
      </c>
    </row>
    <row r="12" spans="1:4" x14ac:dyDescent="0.35">
      <c r="B12" t="s">
        <v>11</v>
      </c>
    </row>
    <row r="13" spans="1:4" x14ac:dyDescent="0.35">
      <c r="B13" t="s">
        <v>12</v>
      </c>
    </row>
    <row r="14" spans="1:4" x14ac:dyDescent="0.35">
      <c r="B14" t="s">
        <v>13</v>
      </c>
    </row>
    <row r="15" spans="1:4" x14ac:dyDescent="0.35">
      <c r="B15" t="s">
        <v>14</v>
      </c>
    </row>
    <row r="16" spans="1:4" x14ac:dyDescent="0.35">
      <c r="A16" t="s">
        <v>15</v>
      </c>
    </row>
    <row r="17" spans="1:2" x14ac:dyDescent="0.35">
      <c r="B17" t="s">
        <v>15</v>
      </c>
    </row>
    <row r="18" spans="1:2" x14ac:dyDescent="0.35">
      <c r="A18" t="s">
        <v>16</v>
      </c>
    </row>
    <row r="19" spans="1:2" x14ac:dyDescent="0.35">
      <c r="B19" t="s">
        <v>17</v>
      </c>
    </row>
    <row r="20" spans="1:2" x14ac:dyDescent="0.35">
      <c r="B20" t="s">
        <v>18</v>
      </c>
    </row>
    <row r="21" spans="1:2" x14ac:dyDescent="0.35">
      <c r="A21" t="s">
        <v>19</v>
      </c>
    </row>
    <row r="22" spans="1:2" x14ac:dyDescent="0.35">
      <c r="B22" t="s">
        <v>20</v>
      </c>
    </row>
    <row r="23" spans="1:2" x14ac:dyDescent="0.35">
      <c r="B23" t="s">
        <v>21</v>
      </c>
    </row>
    <row r="24" spans="1:2" x14ac:dyDescent="0.35">
      <c r="B24" t="s">
        <v>22</v>
      </c>
    </row>
    <row r="25" spans="1:2" x14ac:dyDescent="0.35">
      <c r="A25" t="s">
        <v>23</v>
      </c>
    </row>
    <row r="26" spans="1:2" x14ac:dyDescent="0.35">
      <c r="B26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6CBE-9EEB-472A-AFDA-998487B6F670}">
  <sheetPr codeName="Sheet3"/>
  <dimension ref="A1:E28"/>
  <sheetViews>
    <sheetView topLeftCell="A17" zoomScale="130" zoomScaleNormal="130" workbookViewId="0">
      <selection activeCell="B29" sqref="B29"/>
    </sheetView>
  </sheetViews>
  <sheetFormatPr defaultRowHeight="14.5" x14ac:dyDescent="0.35"/>
  <cols>
    <col min="1" max="1" width="27" bestFit="1" customWidth="1"/>
    <col min="2" max="2" width="10.26953125" bestFit="1" customWidth="1"/>
  </cols>
  <sheetData>
    <row r="1" spans="1:5" x14ac:dyDescent="0.35">
      <c r="A1" t="s">
        <v>1</v>
      </c>
      <c r="B1" t="s">
        <v>24</v>
      </c>
      <c r="E1" t="s">
        <v>193</v>
      </c>
    </row>
    <row r="2" spans="1:5" x14ac:dyDescent="0.35">
      <c r="E2" t="s">
        <v>194</v>
      </c>
    </row>
    <row r="3" spans="1:5" x14ac:dyDescent="0.35">
      <c r="A3" t="s">
        <v>3</v>
      </c>
      <c r="B3">
        <v>150000</v>
      </c>
      <c r="E3" t="s">
        <v>195</v>
      </c>
    </row>
    <row r="4" spans="1:5" x14ac:dyDescent="0.35">
      <c r="A4" t="s">
        <v>4</v>
      </c>
      <c r="B4">
        <v>25000</v>
      </c>
    </row>
    <row r="5" spans="1:5" x14ac:dyDescent="0.35">
      <c r="A5" t="s">
        <v>5</v>
      </c>
      <c r="B5">
        <v>5000</v>
      </c>
      <c r="E5" t="s">
        <v>196</v>
      </c>
    </row>
    <row r="6" spans="1:5" x14ac:dyDescent="0.35">
      <c r="A6" t="s">
        <v>25</v>
      </c>
      <c r="B6" s="1">
        <f>SUM(B3:B5)</f>
        <v>180000</v>
      </c>
    </row>
    <row r="8" spans="1:5" x14ac:dyDescent="0.35">
      <c r="A8" t="s">
        <v>6</v>
      </c>
      <c r="B8">
        <v>60000</v>
      </c>
    </row>
    <row r="9" spans="1:5" x14ac:dyDescent="0.35">
      <c r="A9" t="s">
        <v>26</v>
      </c>
      <c r="B9" s="1">
        <f>SUM(B8)</f>
        <v>60000</v>
      </c>
    </row>
    <row r="10" spans="1:5" x14ac:dyDescent="0.35">
      <c r="A10" t="s">
        <v>27</v>
      </c>
      <c r="B10" s="2">
        <f>B6-B9</f>
        <v>120000</v>
      </c>
    </row>
    <row r="12" spans="1:5" x14ac:dyDescent="0.35">
      <c r="A12" t="s">
        <v>9</v>
      </c>
      <c r="B12">
        <v>30000</v>
      </c>
    </row>
    <row r="13" spans="1:5" x14ac:dyDescent="0.35">
      <c r="A13" t="s">
        <v>10</v>
      </c>
      <c r="B13">
        <v>15000</v>
      </c>
    </row>
    <row r="14" spans="1:5" x14ac:dyDescent="0.35">
      <c r="A14" t="s">
        <v>11</v>
      </c>
      <c r="B14">
        <v>2000</v>
      </c>
      <c r="E14" t="s">
        <v>197</v>
      </c>
    </row>
    <row r="15" spans="1:5" x14ac:dyDescent="0.35">
      <c r="A15" t="s">
        <v>12</v>
      </c>
      <c r="B15">
        <v>10000</v>
      </c>
      <c r="E15" t="s">
        <v>198</v>
      </c>
    </row>
    <row r="16" spans="1:5" x14ac:dyDescent="0.35">
      <c r="A16" t="s">
        <v>13</v>
      </c>
      <c r="B16">
        <v>8000</v>
      </c>
      <c r="E16" t="s">
        <v>199</v>
      </c>
    </row>
    <row r="17" spans="1:2" x14ac:dyDescent="0.35">
      <c r="A17" t="s">
        <v>14</v>
      </c>
      <c r="B17">
        <v>5000</v>
      </c>
    </row>
    <row r="18" spans="1:2" x14ac:dyDescent="0.35">
      <c r="A18" t="s">
        <v>20</v>
      </c>
      <c r="B18">
        <v>1500</v>
      </c>
    </row>
    <row r="19" spans="1:2" x14ac:dyDescent="0.35">
      <c r="A19" t="s">
        <v>21</v>
      </c>
      <c r="B19">
        <v>10000</v>
      </c>
    </row>
    <row r="20" spans="1:2" x14ac:dyDescent="0.35">
      <c r="A20" t="s">
        <v>22</v>
      </c>
      <c r="B20">
        <v>500</v>
      </c>
    </row>
    <row r="21" spans="1:2" x14ac:dyDescent="0.35">
      <c r="A21" t="s">
        <v>28</v>
      </c>
      <c r="B21" s="1">
        <f>SUM(B12:B20)</f>
        <v>82000</v>
      </c>
    </row>
    <row r="23" spans="1:2" x14ac:dyDescent="0.35">
      <c r="A23" t="s">
        <v>15</v>
      </c>
      <c r="B23">
        <v>50000</v>
      </c>
    </row>
    <row r="24" spans="1:2" x14ac:dyDescent="0.35">
      <c r="A24" t="s">
        <v>17</v>
      </c>
      <c r="B24">
        <v>2000</v>
      </c>
    </row>
    <row r="25" spans="1:2" x14ac:dyDescent="0.35">
      <c r="A25" t="s">
        <v>18</v>
      </c>
      <c r="B25">
        <v>1000</v>
      </c>
    </row>
    <row r="26" spans="1:2" x14ac:dyDescent="0.35">
      <c r="A26" t="s">
        <v>29</v>
      </c>
      <c r="B26" s="1">
        <f>SUM(B23:B25)</f>
        <v>53000</v>
      </c>
    </row>
    <row r="28" spans="1:2" x14ac:dyDescent="0.35">
      <c r="A28" t="s">
        <v>30</v>
      </c>
      <c r="B28" s="2">
        <f>B10-B21+B26</f>
        <v>91000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07E18-C4CA-471A-BB9D-6ECB50A2B4E5}">
  <sheetPr codeName="Sheet4"/>
  <dimension ref="A1:B27"/>
  <sheetViews>
    <sheetView topLeftCell="A17" workbookViewId="0">
      <selection activeCell="B28" sqref="B28"/>
    </sheetView>
  </sheetViews>
  <sheetFormatPr defaultRowHeight="14.5" x14ac:dyDescent="0.35"/>
  <cols>
    <col min="1" max="1" width="27" bestFit="1" customWidth="1"/>
    <col min="2" max="2" width="10.26953125" bestFit="1" customWidth="1"/>
  </cols>
  <sheetData>
    <row r="1" spans="1:2" x14ac:dyDescent="0.35">
      <c r="A1" t="s">
        <v>1</v>
      </c>
      <c r="B1" t="s">
        <v>24</v>
      </c>
    </row>
    <row r="3" spans="1:2" x14ac:dyDescent="0.35">
      <c r="A3" t="s">
        <v>3</v>
      </c>
      <c r="B3">
        <v>150000</v>
      </c>
    </row>
    <row r="4" spans="1:2" x14ac:dyDescent="0.35">
      <c r="A4" t="s">
        <v>4</v>
      </c>
      <c r="B4">
        <v>25000</v>
      </c>
    </row>
    <row r="5" spans="1:2" x14ac:dyDescent="0.35">
      <c r="A5" t="s">
        <v>5</v>
      </c>
      <c r="B5">
        <v>5000</v>
      </c>
    </row>
    <row r="6" spans="1:2" x14ac:dyDescent="0.35">
      <c r="A6" t="s">
        <v>25</v>
      </c>
      <c r="B6" s="1">
        <f>SUM(B3:B5)</f>
        <v>180000</v>
      </c>
    </row>
    <row r="8" spans="1:2" x14ac:dyDescent="0.35">
      <c r="A8" t="s">
        <v>6</v>
      </c>
      <c r="B8">
        <v>-60000</v>
      </c>
    </row>
    <row r="9" spans="1:2" x14ac:dyDescent="0.35">
      <c r="A9" t="s">
        <v>26</v>
      </c>
      <c r="B9" s="1">
        <f>SUM(B8)</f>
        <v>-60000</v>
      </c>
    </row>
    <row r="11" spans="1:2" x14ac:dyDescent="0.35">
      <c r="A11" t="s">
        <v>9</v>
      </c>
      <c r="B11">
        <v>-30000</v>
      </c>
    </row>
    <row r="12" spans="1:2" x14ac:dyDescent="0.35">
      <c r="A12" t="s">
        <v>10</v>
      </c>
      <c r="B12">
        <v>-15000</v>
      </c>
    </row>
    <row r="13" spans="1:2" x14ac:dyDescent="0.35">
      <c r="A13" t="s">
        <v>11</v>
      </c>
      <c r="B13">
        <v>-2000</v>
      </c>
    </row>
    <row r="14" spans="1:2" x14ac:dyDescent="0.35">
      <c r="A14" t="s">
        <v>12</v>
      </c>
      <c r="B14">
        <v>-10000</v>
      </c>
    </row>
    <row r="15" spans="1:2" x14ac:dyDescent="0.35">
      <c r="A15" t="s">
        <v>13</v>
      </c>
      <c r="B15">
        <v>-8000</v>
      </c>
    </row>
    <row r="16" spans="1:2" x14ac:dyDescent="0.35">
      <c r="A16" t="s">
        <v>14</v>
      </c>
      <c r="B16">
        <v>-5000</v>
      </c>
    </row>
    <row r="17" spans="1:2" x14ac:dyDescent="0.35">
      <c r="A17" t="s">
        <v>20</v>
      </c>
      <c r="B17">
        <v>-1500</v>
      </c>
    </row>
    <row r="18" spans="1:2" x14ac:dyDescent="0.35">
      <c r="A18" t="s">
        <v>21</v>
      </c>
      <c r="B18">
        <v>-10000</v>
      </c>
    </row>
    <row r="19" spans="1:2" x14ac:dyDescent="0.35">
      <c r="A19" t="s">
        <v>22</v>
      </c>
      <c r="B19">
        <v>-500</v>
      </c>
    </row>
    <row r="20" spans="1:2" x14ac:dyDescent="0.35">
      <c r="A20" t="s">
        <v>28</v>
      </c>
      <c r="B20" s="1">
        <f>SUM(B11:B19)</f>
        <v>-82000</v>
      </c>
    </row>
    <row r="22" spans="1:2" x14ac:dyDescent="0.35">
      <c r="A22" t="s">
        <v>15</v>
      </c>
      <c r="B22">
        <v>50000</v>
      </c>
    </row>
    <row r="23" spans="1:2" x14ac:dyDescent="0.35">
      <c r="A23" t="s">
        <v>17</v>
      </c>
      <c r="B23">
        <v>2000</v>
      </c>
    </row>
    <row r="24" spans="1:2" x14ac:dyDescent="0.35">
      <c r="A24" t="s">
        <v>18</v>
      </c>
      <c r="B24">
        <v>1000</v>
      </c>
    </row>
    <row r="25" spans="1:2" x14ac:dyDescent="0.35">
      <c r="A25" t="s">
        <v>29</v>
      </c>
      <c r="B25" s="1">
        <f>SUM(B22:B24)</f>
        <v>53000</v>
      </c>
    </row>
    <row r="27" spans="1:2" x14ac:dyDescent="0.35">
      <c r="A27" t="s">
        <v>23</v>
      </c>
      <c r="B27" s="2">
        <f>SUM(B25,B20,B9,B6)</f>
        <v>91000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28FC-2C54-40DC-A593-9949D9DCF6B3}">
  <sheetPr codeName="Sheet9"/>
  <dimension ref="A1:E21"/>
  <sheetViews>
    <sheetView zoomScale="130" zoomScaleNormal="130" workbookViewId="0">
      <selection activeCell="A21" sqref="A21"/>
    </sheetView>
  </sheetViews>
  <sheetFormatPr defaultRowHeight="14.5" x14ac:dyDescent="0.35"/>
  <cols>
    <col min="1" max="1" width="14.1796875" bestFit="1" customWidth="1"/>
    <col min="2" max="2" width="12.1796875" bestFit="1" customWidth="1"/>
    <col min="3" max="3" width="14.90625" customWidth="1"/>
    <col min="5" max="5" width="16.1796875" bestFit="1" customWidth="1"/>
  </cols>
  <sheetData>
    <row r="1" spans="1:5" x14ac:dyDescent="0.35">
      <c r="A1" t="s">
        <v>31</v>
      </c>
      <c r="B1" t="s">
        <v>32</v>
      </c>
      <c r="C1" t="s">
        <v>33</v>
      </c>
      <c r="E1" t="s">
        <v>200</v>
      </c>
    </row>
    <row r="2" spans="1:5" x14ac:dyDescent="0.35">
      <c r="A2" t="s">
        <v>43</v>
      </c>
      <c r="B2">
        <v>160000</v>
      </c>
      <c r="C2">
        <v>170000</v>
      </c>
    </row>
    <row r="3" spans="1:5" x14ac:dyDescent="0.35">
      <c r="A3" t="s">
        <v>41</v>
      </c>
      <c r="B3">
        <v>180000</v>
      </c>
      <c r="C3">
        <v>190000</v>
      </c>
    </row>
    <row r="4" spans="1:5" x14ac:dyDescent="0.35">
      <c r="A4" t="s">
        <v>42</v>
      </c>
      <c r="B4">
        <v>170000</v>
      </c>
      <c r="C4">
        <v>185000</v>
      </c>
    </row>
    <row r="5" spans="1:5" x14ac:dyDescent="0.35">
      <c r="A5" t="s">
        <v>35</v>
      </c>
      <c r="B5">
        <v>450000</v>
      </c>
      <c r="C5">
        <v>480000</v>
      </c>
    </row>
    <row r="6" spans="1:5" x14ac:dyDescent="0.35">
      <c r="A6" t="s">
        <v>39</v>
      </c>
      <c r="B6">
        <v>240000</v>
      </c>
      <c r="C6">
        <v>255000</v>
      </c>
    </row>
    <row r="7" spans="1:5" x14ac:dyDescent="0.35">
      <c r="A7" t="s">
        <v>37</v>
      </c>
      <c r="B7">
        <v>280000</v>
      </c>
      <c r="C7">
        <v>290000</v>
      </c>
    </row>
    <row r="8" spans="1:5" x14ac:dyDescent="0.35">
      <c r="A8" t="s">
        <v>40</v>
      </c>
      <c r="B8">
        <v>200000</v>
      </c>
      <c r="C8">
        <v>220000</v>
      </c>
    </row>
    <row r="9" spans="1:5" x14ac:dyDescent="0.35">
      <c r="A9" t="s">
        <v>45</v>
      </c>
      <c r="B9">
        <v>140000</v>
      </c>
      <c r="C9">
        <v>155000</v>
      </c>
    </row>
    <row r="10" spans="1:5" x14ac:dyDescent="0.35">
      <c r="A10" t="s">
        <v>36</v>
      </c>
      <c r="B10">
        <v>300000</v>
      </c>
      <c r="C10">
        <v>320000</v>
      </c>
    </row>
    <row r="11" spans="1:5" x14ac:dyDescent="0.35">
      <c r="A11" t="s">
        <v>47</v>
      </c>
      <c r="B11">
        <v>120000</v>
      </c>
      <c r="C11">
        <v>130000</v>
      </c>
    </row>
    <row r="12" spans="1:5" x14ac:dyDescent="0.35">
      <c r="A12" t="s">
        <v>48</v>
      </c>
      <c r="B12">
        <v>110000</v>
      </c>
      <c r="C12">
        <v>120000</v>
      </c>
    </row>
    <row r="13" spans="1:5" x14ac:dyDescent="0.35">
      <c r="A13" t="s">
        <v>51</v>
      </c>
      <c r="B13">
        <v>90000</v>
      </c>
      <c r="C13">
        <v>100000</v>
      </c>
    </row>
    <row r="14" spans="1:5" x14ac:dyDescent="0.35">
      <c r="A14" t="s">
        <v>53</v>
      </c>
      <c r="B14">
        <v>80000</v>
      </c>
      <c r="C14">
        <v>90000</v>
      </c>
    </row>
    <row r="15" spans="1:5" x14ac:dyDescent="0.35">
      <c r="A15" t="s">
        <v>44</v>
      </c>
      <c r="B15">
        <v>150000</v>
      </c>
      <c r="C15">
        <v>160000</v>
      </c>
    </row>
    <row r="16" spans="1:5" x14ac:dyDescent="0.35">
      <c r="A16" t="s">
        <v>46</v>
      </c>
      <c r="B16">
        <v>130000</v>
      </c>
      <c r="C16">
        <v>145000</v>
      </c>
    </row>
    <row r="17" spans="1:3" x14ac:dyDescent="0.35">
      <c r="A17" t="s">
        <v>52</v>
      </c>
      <c r="B17">
        <v>85000</v>
      </c>
      <c r="C17">
        <v>95000</v>
      </c>
    </row>
    <row r="18" spans="1:3" x14ac:dyDescent="0.35">
      <c r="A18" t="s">
        <v>50</v>
      </c>
      <c r="B18">
        <v>95000</v>
      </c>
      <c r="C18">
        <v>105000</v>
      </c>
    </row>
    <row r="19" spans="1:3" x14ac:dyDescent="0.35">
      <c r="A19" t="s">
        <v>49</v>
      </c>
      <c r="B19">
        <v>100000</v>
      </c>
      <c r="C19">
        <v>110000</v>
      </c>
    </row>
    <row r="20" spans="1:3" x14ac:dyDescent="0.35">
      <c r="A20" t="s">
        <v>38</v>
      </c>
      <c r="B20">
        <v>260000</v>
      </c>
      <c r="C20">
        <v>270000</v>
      </c>
    </row>
    <row r="21" spans="1:3" x14ac:dyDescent="0.35">
      <c r="A21" t="s">
        <v>34</v>
      </c>
      <c r="B21">
        <v>500000</v>
      </c>
      <c r="C21">
        <v>550000</v>
      </c>
    </row>
  </sheetData>
  <sortState xmlns:xlrd2="http://schemas.microsoft.com/office/spreadsheetml/2017/richdata2" ref="A2:C21">
    <sortCondition ref="A2:A2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5C87A-E070-4445-A2E1-91DFC32D2A77}">
  <sheetPr codeName="Sheet10"/>
  <dimension ref="A1:F21"/>
  <sheetViews>
    <sheetView zoomScale="130" zoomScaleNormal="130" workbookViewId="0">
      <selection activeCell="D5" sqref="D5"/>
    </sheetView>
  </sheetViews>
  <sheetFormatPr defaultRowHeight="14.5" x14ac:dyDescent="0.35"/>
  <cols>
    <col min="1" max="1" width="14.1796875" bestFit="1" customWidth="1"/>
    <col min="2" max="2" width="12.1796875" bestFit="1" customWidth="1"/>
    <col min="3" max="3" width="14.90625" customWidth="1"/>
    <col min="5" max="5" width="16.1796875" bestFit="1" customWidth="1"/>
  </cols>
  <sheetData>
    <row r="1" spans="1:6" x14ac:dyDescent="0.35">
      <c r="A1" t="s">
        <v>31</v>
      </c>
      <c r="B1" t="s">
        <v>32</v>
      </c>
      <c r="C1" t="s">
        <v>33</v>
      </c>
      <c r="F1" t="s">
        <v>54</v>
      </c>
    </row>
    <row r="2" spans="1:6" x14ac:dyDescent="0.35">
      <c r="A2" t="s">
        <v>34</v>
      </c>
      <c r="B2">
        <v>500000</v>
      </c>
      <c r="C2">
        <v>550000</v>
      </c>
      <c r="D2" s="4" t="str">
        <f>IF((C2-B2)/B2&lt;=7%,"Stable","Growth")</f>
        <v>Growth</v>
      </c>
    </row>
    <row r="3" spans="1:6" x14ac:dyDescent="0.35">
      <c r="A3" t="s">
        <v>35</v>
      </c>
      <c r="B3">
        <v>450000</v>
      </c>
      <c r="C3">
        <v>480000</v>
      </c>
      <c r="D3" s="4" t="str">
        <f t="shared" ref="D3:D21" si="0">IF((C3-B3)/B3&lt;=7%,"Stable","Growth")</f>
        <v>Stable</v>
      </c>
      <c r="F3" t="s">
        <v>201</v>
      </c>
    </row>
    <row r="4" spans="1:6" x14ac:dyDescent="0.35">
      <c r="A4" t="s">
        <v>36</v>
      </c>
      <c r="B4">
        <v>300000</v>
      </c>
      <c r="C4">
        <v>320000</v>
      </c>
      <c r="D4" s="4" t="str">
        <f t="shared" si="0"/>
        <v>Stable</v>
      </c>
    </row>
    <row r="5" spans="1:6" x14ac:dyDescent="0.35">
      <c r="A5" t="s">
        <v>37</v>
      </c>
      <c r="B5">
        <v>280000</v>
      </c>
      <c r="C5">
        <v>290000</v>
      </c>
      <c r="D5" s="4" t="str">
        <f t="shared" si="0"/>
        <v>Stable</v>
      </c>
    </row>
    <row r="6" spans="1:6" x14ac:dyDescent="0.35">
      <c r="A6" t="s">
        <v>38</v>
      </c>
      <c r="B6">
        <v>260000</v>
      </c>
      <c r="C6">
        <v>270000</v>
      </c>
      <c r="D6" s="4" t="str">
        <f t="shared" si="0"/>
        <v>Stable</v>
      </c>
    </row>
    <row r="7" spans="1:6" x14ac:dyDescent="0.35">
      <c r="A7" t="s">
        <v>39</v>
      </c>
      <c r="B7">
        <v>240000</v>
      </c>
      <c r="C7">
        <v>255000</v>
      </c>
      <c r="D7" s="4" t="str">
        <f t="shared" si="0"/>
        <v>Stable</v>
      </c>
    </row>
    <row r="8" spans="1:6" x14ac:dyDescent="0.35">
      <c r="A8" t="s">
        <v>40</v>
      </c>
      <c r="B8">
        <v>200000</v>
      </c>
      <c r="C8">
        <v>220000</v>
      </c>
      <c r="D8" s="4" t="str">
        <f t="shared" si="0"/>
        <v>Growth</v>
      </c>
    </row>
    <row r="9" spans="1:6" x14ac:dyDescent="0.35">
      <c r="A9" t="s">
        <v>41</v>
      </c>
      <c r="B9">
        <v>180000</v>
      </c>
      <c r="C9">
        <v>190000</v>
      </c>
      <c r="D9" s="4" t="str">
        <f t="shared" si="0"/>
        <v>Stable</v>
      </c>
    </row>
    <row r="10" spans="1:6" x14ac:dyDescent="0.35">
      <c r="A10" t="s">
        <v>42</v>
      </c>
      <c r="B10">
        <v>170000</v>
      </c>
      <c r="C10">
        <v>185000</v>
      </c>
      <c r="D10" s="4" t="str">
        <f t="shared" si="0"/>
        <v>Growth</v>
      </c>
    </row>
    <row r="11" spans="1:6" x14ac:dyDescent="0.35">
      <c r="A11" t="s">
        <v>43</v>
      </c>
      <c r="B11">
        <v>160000</v>
      </c>
      <c r="C11">
        <v>170000</v>
      </c>
      <c r="D11" s="4" t="str">
        <f t="shared" si="0"/>
        <v>Stable</v>
      </c>
    </row>
    <row r="12" spans="1:6" x14ac:dyDescent="0.35">
      <c r="A12" t="s">
        <v>44</v>
      </c>
      <c r="B12">
        <v>150000</v>
      </c>
      <c r="C12">
        <v>160000</v>
      </c>
      <c r="D12" s="4" t="str">
        <f t="shared" si="0"/>
        <v>Stable</v>
      </c>
    </row>
    <row r="13" spans="1:6" x14ac:dyDescent="0.35">
      <c r="A13" t="s">
        <v>45</v>
      </c>
      <c r="B13">
        <v>140000</v>
      </c>
      <c r="C13">
        <v>155000</v>
      </c>
      <c r="D13" s="4" t="str">
        <f t="shared" si="0"/>
        <v>Growth</v>
      </c>
    </row>
    <row r="14" spans="1:6" x14ac:dyDescent="0.35">
      <c r="A14" t="s">
        <v>46</v>
      </c>
      <c r="B14">
        <v>130000</v>
      </c>
      <c r="C14">
        <v>145000</v>
      </c>
      <c r="D14" s="4" t="str">
        <f t="shared" si="0"/>
        <v>Growth</v>
      </c>
    </row>
    <row r="15" spans="1:6" x14ac:dyDescent="0.35">
      <c r="A15" t="s">
        <v>47</v>
      </c>
      <c r="B15">
        <v>120000</v>
      </c>
      <c r="C15">
        <v>130000</v>
      </c>
      <c r="D15" s="4" t="str">
        <f t="shared" si="0"/>
        <v>Growth</v>
      </c>
    </row>
    <row r="16" spans="1:6" x14ac:dyDescent="0.35">
      <c r="A16" t="s">
        <v>48</v>
      </c>
      <c r="B16">
        <v>110000</v>
      </c>
      <c r="C16">
        <v>120000</v>
      </c>
      <c r="D16" s="4" t="str">
        <f t="shared" si="0"/>
        <v>Growth</v>
      </c>
    </row>
    <row r="17" spans="1:4" x14ac:dyDescent="0.35">
      <c r="A17" t="s">
        <v>49</v>
      </c>
      <c r="B17">
        <v>100000</v>
      </c>
      <c r="C17">
        <v>110000</v>
      </c>
      <c r="D17" s="4" t="str">
        <f t="shared" si="0"/>
        <v>Growth</v>
      </c>
    </row>
    <row r="18" spans="1:4" x14ac:dyDescent="0.35">
      <c r="A18" t="s">
        <v>50</v>
      </c>
      <c r="B18">
        <v>95000</v>
      </c>
      <c r="C18">
        <v>105000</v>
      </c>
      <c r="D18" s="4" t="str">
        <f t="shared" si="0"/>
        <v>Growth</v>
      </c>
    </row>
    <row r="19" spans="1:4" x14ac:dyDescent="0.35">
      <c r="A19" t="s">
        <v>51</v>
      </c>
      <c r="B19">
        <v>90000</v>
      </c>
      <c r="C19">
        <v>100000</v>
      </c>
      <c r="D19" s="4" t="str">
        <f t="shared" si="0"/>
        <v>Growth</v>
      </c>
    </row>
    <row r="20" spans="1:4" x14ac:dyDescent="0.35">
      <c r="A20" t="s">
        <v>52</v>
      </c>
      <c r="B20">
        <v>85000</v>
      </c>
      <c r="C20">
        <v>95000</v>
      </c>
      <c r="D20" s="4" t="str">
        <f t="shared" si="0"/>
        <v>Growth</v>
      </c>
    </row>
    <row r="21" spans="1:4" x14ac:dyDescent="0.35">
      <c r="A21" t="s">
        <v>53</v>
      </c>
      <c r="B21">
        <v>80000</v>
      </c>
      <c r="C21">
        <v>90000</v>
      </c>
      <c r="D21" s="4" t="str">
        <f t="shared" si="0"/>
        <v>Growth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EB81-D4BE-4C27-BB11-68AC62876698}">
  <sheetPr codeName="Sheet12"/>
  <dimension ref="A1:F21"/>
  <sheetViews>
    <sheetView zoomScale="130" zoomScaleNormal="130" workbookViewId="0">
      <selection activeCell="E11" sqref="E11"/>
    </sheetView>
  </sheetViews>
  <sheetFormatPr defaultRowHeight="14.5" x14ac:dyDescent="0.35"/>
  <cols>
    <col min="1" max="1" width="14.1796875" bestFit="1" customWidth="1"/>
    <col min="2" max="2" width="12.1796875" bestFit="1" customWidth="1"/>
    <col min="3" max="3" width="12.36328125" bestFit="1" customWidth="1"/>
    <col min="5" max="5" width="16.1796875" bestFit="1" customWidth="1"/>
  </cols>
  <sheetData>
    <row r="1" spans="1:6" x14ac:dyDescent="0.35">
      <c r="A1" t="s">
        <v>31</v>
      </c>
      <c r="B1" t="s">
        <v>32</v>
      </c>
      <c r="C1" t="s">
        <v>33</v>
      </c>
      <c r="D1" t="s">
        <v>57</v>
      </c>
      <c r="F1" t="s">
        <v>202</v>
      </c>
    </row>
    <row r="2" spans="1:6" x14ac:dyDescent="0.35">
      <c r="A2" t="s">
        <v>34</v>
      </c>
      <c r="B2">
        <v>500000</v>
      </c>
      <c r="C2">
        <v>550000</v>
      </c>
      <c r="D2" t="s">
        <v>55</v>
      </c>
    </row>
    <row r="3" spans="1:6" x14ac:dyDescent="0.35">
      <c r="A3" t="s">
        <v>35</v>
      </c>
      <c r="B3">
        <v>450000</v>
      </c>
      <c r="C3">
        <v>480000</v>
      </c>
      <c r="D3" t="s">
        <v>56</v>
      </c>
    </row>
    <row r="4" spans="1:6" x14ac:dyDescent="0.35">
      <c r="A4" t="s">
        <v>36</v>
      </c>
      <c r="B4">
        <v>300000</v>
      </c>
      <c r="C4">
        <v>320000</v>
      </c>
      <c r="D4" t="s">
        <v>56</v>
      </c>
    </row>
    <row r="5" spans="1:6" x14ac:dyDescent="0.35">
      <c r="A5" t="s">
        <v>37</v>
      </c>
      <c r="B5">
        <v>280000</v>
      </c>
      <c r="C5">
        <v>290000</v>
      </c>
      <c r="D5" t="s">
        <v>56</v>
      </c>
    </row>
    <row r="6" spans="1:6" x14ac:dyDescent="0.35">
      <c r="A6" t="s">
        <v>38</v>
      </c>
      <c r="B6">
        <v>260000</v>
      </c>
      <c r="C6">
        <v>270000</v>
      </c>
      <c r="D6" t="s">
        <v>56</v>
      </c>
    </row>
    <row r="7" spans="1:6" x14ac:dyDescent="0.35">
      <c r="A7" t="s">
        <v>39</v>
      </c>
      <c r="B7">
        <v>240000</v>
      </c>
      <c r="C7">
        <v>255000</v>
      </c>
      <c r="D7" t="s">
        <v>56</v>
      </c>
    </row>
    <row r="8" spans="1:6" x14ac:dyDescent="0.35">
      <c r="A8" t="s">
        <v>40</v>
      </c>
      <c r="B8">
        <v>200000</v>
      </c>
      <c r="C8">
        <v>220000</v>
      </c>
      <c r="D8" t="s">
        <v>55</v>
      </c>
    </row>
    <row r="9" spans="1:6" x14ac:dyDescent="0.35">
      <c r="A9" t="s">
        <v>41</v>
      </c>
      <c r="B9">
        <v>180000</v>
      </c>
      <c r="C9">
        <v>190000</v>
      </c>
      <c r="D9" t="s">
        <v>56</v>
      </c>
    </row>
    <row r="10" spans="1:6" x14ac:dyDescent="0.35">
      <c r="A10" t="s">
        <v>42</v>
      </c>
      <c r="B10">
        <v>170000</v>
      </c>
      <c r="C10">
        <v>185000</v>
      </c>
      <c r="D10" t="s">
        <v>55</v>
      </c>
    </row>
    <row r="11" spans="1:6" x14ac:dyDescent="0.35">
      <c r="A11" t="s">
        <v>43</v>
      </c>
      <c r="B11">
        <v>160000</v>
      </c>
      <c r="C11">
        <v>170000</v>
      </c>
      <c r="D11" t="s">
        <v>56</v>
      </c>
    </row>
    <row r="12" spans="1:6" x14ac:dyDescent="0.35">
      <c r="A12" t="s">
        <v>44</v>
      </c>
      <c r="B12">
        <v>150000</v>
      </c>
      <c r="C12">
        <v>160000</v>
      </c>
      <c r="D12" t="s">
        <v>56</v>
      </c>
    </row>
    <row r="13" spans="1:6" x14ac:dyDescent="0.35">
      <c r="A13" t="s">
        <v>45</v>
      </c>
      <c r="B13">
        <v>140000</v>
      </c>
      <c r="C13">
        <v>155000</v>
      </c>
      <c r="D13" t="s">
        <v>55</v>
      </c>
    </row>
    <row r="14" spans="1:6" x14ac:dyDescent="0.35">
      <c r="A14" t="s">
        <v>46</v>
      </c>
      <c r="B14">
        <v>130000</v>
      </c>
      <c r="C14">
        <v>145000</v>
      </c>
      <c r="D14" t="s">
        <v>55</v>
      </c>
    </row>
    <row r="15" spans="1:6" x14ac:dyDescent="0.35">
      <c r="A15" t="s">
        <v>47</v>
      </c>
      <c r="B15">
        <v>120000</v>
      </c>
      <c r="C15">
        <v>130000</v>
      </c>
      <c r="D15" t="s">
        <v>55</v>
      </c>
    </row>
    <row r="16" spans="1:6" x14ac:dyDescent="0.35">
      <c r="A16" t="s">
        <v>48</v>
      </c>
      <c r="B16">
        <v>110000</v>
      </c>
      <c r="C16">
        <v>120000</v>
      </c>
      <c r="D16" t="s">
        <v>55</v>
      </c>
    </row>
    <row r="17" spans="1:4" x14ac:dyDescent="0.35">
      <c r="A17" t="s">
        <v>49</v>
      </c>
      <c r="B17">
        <v>100000</v>
      </c>
      <c r="C17">
        <v>110000</v>
      </c>
      <c r="D17" t="s">
        <v>55</v>
      </c>
    </row>
    <row r="18" spans="1:4" x14ac:dyDescent="0.35">
      <c r="A18" t="s">
        <v>50</v>
      </c>
      <c r="B18">
        <v>95000</v>
      </c>
      <c r="C18">
        <v>105000</v>
      </c>
      <c r="D18" t="s">
        <v>55</v>
      </c>
    </row>
    <row r="19" spans="1:4" x14ac:dyDescent="0.35">
      <c r="A19" t="s">
        <v>51</v>
      </c>
      <c r="B19">
        <v>90000</v>
      </c>
      <c r="C19">
        <v>100000</v>
      </c>
      <c r="D19" t="s">
        <v>55</v>
      </c>
    </row>
    <row r="20" spans="1:4" x14ac:dyDescent="0.35">
      <c r="A20" t="s">
        <v>52</v>
      </c>
      <c r="B20">
        <v>85000</v>
      </c>
      <c r="C20">
        <v>95000</v>
      </c>
      <c r="D20" t="s">
        <v>55</v>
      </c>
    </row>
    <row r="21" spans="1:4" x14ac:dyDescent="0.35">
      <c r="A21" t="s">
        <v>53</v>
      </c>
      <c r="B21">
        <v>80000</v>
      </c>
      <c r="C21">
        <v>90000</v>
      </c>
      <c r="D21" t="s">
        <v>55</v>
      </c>
    </row>
  </sheetData>
  <conditionalFormatting sqref="D2:D21">
    <cfRule type="cellIs" dxfId="0" priority="2" operator="equal">
      <formula>"Growth"</formula>
    </cfRule>
    <cfRule type="cellIs" dxfId="1" priority="1" operator="equal">
      <formula>"Stable"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2CF36-B7DE-4033-B9EB-36DE5B7C5510}">
  <sheetPr codeName="Sheet20"/>
  <dimension ref="A1:J9"/>
  <sheetViews>
    <sheetView topLeftCell="B1" zoomScale="115" zoomScaleNormal="115" workbookViewId="0">
      <selection activeCell="E3" sqref="E3"/>
    </sheetView>
  </sheetViews>
  <sheetFormatPr defaultRowHeight="14.5" x14ac:dyDescent="0.35"/>
  <cols>
    <col min="1" max="1" width="9.36328125" bestFit="1" customWidth="1"/>
    <col min="2" max="2" width="19.453125" bestFit="1" customWidth="1"/>
    <col min="3" max="3" width="16" bestFit="1" customWidth="1"/>
    <col min="4" max="4" width="12.08984375" bestFit="1" customWidth="1"/>
    <col min="5" max="5" width="14.81640625" customWidth="1"/>
    <col min="7" max="7" width="9.36328125" bestFit="1" customWidth="1"/>
    <col min="8" max="9" width="19.453125" bestFit="1" customWidth="1"/>
    <col min="10" max="10" width="19.36328125" bestFit="1" customWidth="1"/>
  </cols>
  <sheetData>
    <row r="1" spans="1:10" x14ac:dyDescent="0.35">
      <c r="A1" t="s">
        <v>59</v>
      </c>
      <c r="B1" t="s">
        <v>58</v>
      </c>
      <c r="C1" t="s">
        <v>149</v>
      </c>
      <c r="D1" t="s">
        <v>60</v>
      </c>
      <c r="E1" t="s">
        <v>61</v>
      </c>
      <c r="G1" t="s">
        <v>203</v>
      </c>
      <c r="I1" t="s">
        <v>58</v>
      </c>
      <c r="J1" t="s">
        <v>140</v>
      </c>
    </row>
    <row r="2" spans="1:10" x14ac:dyDescent="0.35">
      <c r="A2" t="s">
        <v>150</v>
      </c>
      <c r="B2" t="s">
        <v>141</v>
      </c>
      <c r="C2">
        <v>3</v>
      </c>
      <c r="D2" s="3">
        <f>VLOOKUP(B2,$I$2:$J$9,2,0)</f>
        <v>75000</v>
      </c>
      <c r="E2" s="3">
        <f>D2*C2</f>
        <v>225000</v>
      </c>
      <c r="I2" t="s">
        <v>142</v>
      </c>
      <c r="J2">
        <v>129000</v>
      </c>
    </row>
    <row r="3" spans="1:10" x14ac:dyDescent="0.35">
      <c r="A3" t="s">
        <v>151</v>
      </c>
      <c r="B3" t="s">
        <v>142</v>
      </c>
      <c r="C3">
        <v>2</v>
      </c>
      <c r="D3" s="3">
        <f t="shared" ref="D3:D9" si="0">VLOOKUP(B3,$I$2:$J$9,2,0)</f>
        <v>129000</v>
      </c>
      <c r="E3" s="3">
        <f t="shared" ref="E3:E9" si="1">D3*C3</f>
        <v>258000</v>
      </c>
      <c r="I3" t="s">
        <v>144</v>
      </c>
      <c r="J3">
        <v>18000</v>
      </c>
    </row>
    <row r="4" spans="1:10" x14ac:dyDescent="0.35">
      <c r="A4" t="s">
        <v>152</v>
      </c>
      <c r="B4" t="s">
        <v>143</v>
      </c>
      <c r="C4">
        <v>5</v>
      </c>
      <c r="D4" s="3">
        <f t="shared" si="0"/>
        <v>58000</v>
      </c>
      <c r="E4" s="3">
        <f t="shared" si="1"/>
        <v>290000</v>
      </c>
      <c r="I4" t="s">
        <v>148</v>
      </c>
      <c r="J4">
        <v>30000</v>
      </c>
    </row>
    <row r="5" spans="1:10" x14ac:dyDescent="0.35">
      <c r="A5" t="s">
        <v>153</v>
      </c>
      <c r="B5" t="s">
        <v>144</v>
      </c>
      <c r="C5">
        <v>8</v>
      </c>
      <c r="D5" s="3">
        <f t="shared" si="0"/>
        <v>18000</v>
      </c>
      <c r="E5" s="3">
        <f t="shared" si="1"/>
        <v>144000</v>
      </c>
      <c r="I5" t="s">
        <v>141</v>
      </c>
      <c r="J5">
        <v>75000</v>
      </c>
    </row>
    <row r="6" spans="1:10" x14ac:dyDescent="0.35">
      <c r="A6" t="s">
        <v>154</v>
      </c>
      <c r="B6" t="s">
        <v>145</v>
      </c>
      <c r="C6">
        <v>4</v>
      </c>
      <c r="D6" s="3">
        <f t="shared" si="0"/>
        <v>43000</v>
      </c>
      <c r="E6" s="3">
        <f t="shared" si="1"/>
        <v>172000</v>
      </c>
      <c r="I6" t="s">
        <v>143</v>
      </c>
      <c r="J6">
        <v>58000</v>
      </c>
    </row>
    <row r="7" spans="1:10" x14ac:dyDescent="0.35">
      <c r="A7" t="s">
        <v>155</v>
      </c>
      <c r="B7" t="s">
        <v>146</v>
      </c>
      <c r="C7">
        <v>6</v>
      </c>
      <c r="D7" s="3">
        <f t="shared" si="0"/>
        <v>35000</v>
      </c>
      <c r="E7" s="3">
        <f t="shared" si="1"/>
        <v>210000</v>
      </c>
      <c r="I7" t="s">
        <v>146</v>
      </c>
      <c r="J7">
        <v>35000</v>
      </c>
    </row>
    <row r="8" spans="1:10" x14ac:dyDescent="0.35">
      <c r="A8" t="s">
        <v>156</v>
      </c>
      <c r="B8" t="s">
        <v>147</v>
      </c>
      <c r="C8">
        <v>3</v>
      </c>
      <c r="D8" s="3">
        <f t="shared" si="0"/>
        <v>33000</v>
      </c>
      <c r="E8" s="3">
        <f t="shared" si="1"/>
        <v>99000</v>
      </c>
      <c r="I8" t="s">
        <v>145</v>
      </c>
      <c r="J8">
        <v>43000</v>
      </c>
    </row>
    <row r="9" spans="1:10" x14ac:dyDescent="0.35">
      <c r="A9" t="s">
        <v>157</v>
      </c>
      <c r="B9" t="s">
        <v>148</v>
      </c>
      <c r="C9">
        <v>2</v>
      </c>
      <c r="D9" s="3">
        <f t="shared" si="0"/>
        <v>30000</v>
      </c>
      <c r="E9" s="3">
        <f t="shared" si="1"/>
        <v>60000</v>
      </c>
      <c r="I9" t="s">
        <v>147</v>
      </c>
      <c r="J9">
        <v>33000</v>
      </c>
    </row>
  </sheetData>
  <sortState xmlns:xlrd2="http://schemas.microsoft.com/office/spreadsheetml/2017/richdata2" ref="H2:J9">
    <sortCondition ref="H2:H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64990-7240-477C-AE54-84030622FD0F}">
  <sheetPr codeName="Sheet21"/>
  <dimension ref="A1:I31"/>
  <sheetViews>
    <sheetView zoomScale="130" zoomScaleNormal="130" workbookViewId="0">
      <selection activeCell="D3" sqref="D3"/>
    </sheetView>
  </sheetViews>
  <sheetFormatPr defaultRowHeight="14.5" x14ac:dyDescent="0.35"/>
  <cols>
    <col min="1" max="4" width="16.453125" customWidth="1"/>
    <col min="5" max="5" width="7.54296875" bestFit="1" customWidth="1"/>
    <col min="8" max="8" width="13.26953125" bestFit="1" customWidth="1"/>
    <col min="9" max="9" width="16.36328125" bestFit="1" customWidth="1"/>
    <col min="10" max="10" width="11.36328125" bestFit="1" customWidth="1"/>
  </cols>
  <sheetData>
    <row r="1" spans="1:9" x14ac:dyDescent="0.35">
      <c r="A1" t="s">
        <v>62</v>
      </c>
      <c r="B1" t="s">
        <v>63</v>
      </c>
      <c r="C1" t="s">
        <v>158</v>
      </c>
      <c r="D1" t="s">
        <v>69</v>
      </c>
      <c r="H1" t="s">
        <v>64</v>
      </c>
      <c r="I1" t="s">
        <v>69</v>
      </c>
    </row>
    <row r="2" spans="1:9" x14ac:dyDescent="0.35">
      <c r="A2">
        <v>101</v>
      </c>
      <c r="B2" t="s">
        <v>65</v>
      </c>
      <c r="C2">
        <v>201</v>
      </c>
      <c r="D2" s="1" t="str">
        <f>VLOOKUP(C2,$H$2:$I$4,2,0)</f>
        <v>Sales</v>
      </c>
      <c r="H2">
        <v>201</v>
      </c>
      <c r="I2" t="s">
        <v>3</v>
      </c>
    </row>
    <row r="3" spans="1:9" x14ac:dyDescent="0.35">
      <c r="A3">
        <v>102</v>
      </c>
      <c r="B3" t="s">
        <v>66</v>
      </c>
      <c r="C3">
        <v>202</v>
      </c>
      <c r="D3" s="1" t="str">
        <f t="shared" ref="D3:D31" si="0">VLOOKUP(C3,$H$2:$I$4,2,0)</f>
        <v>Marketing</v>
      </c>
      <c r="H3">
        <v>202</v>
      </c>
      <c r="I3" t="s">
        <v>70</v>
      </c>
    </row>
    <row r="4" spans="1:9" x14ac:dyDescent="0.35">
      <c r="A4">
        <v>103</v>
      </c>
      <c r="B4" t="s">
        <v>67</v>
      </c>
      <c r="C4">
        <v>201</v>
      </c>
      <c r="D4" s="1" t="str">
        <f t="shared" si="0"/>
        <v>Sales</v>
      </c>
      <c r="H4">
        <v>203</v>
      </c>
      <c r="I4" t="s">
        <v>71</v>
      </c>
    </row>
    <row r="5" spans="1:9" x14ac:dyDescent="0.35">
      <c r="A5">
        <v>104</v>
      </c>
      <c r="B5" t="s">
        <v>68</v>
      </c>
      <c r="C5">
        <v>203</v>
      </c>
      <c r="D5" s="1" t="str">
        <f t="shared" si="0"/>
        <v>Finance</v>
      </c>
    </row>
    <row r="6" spans="1:9" x14ac:dyDescent="0.35">
      <c r="A6">
        <v>105</v>
      </c>
      <c r="B6" t="s">
        <v>159</v>
      </c>
      <c r="C6">
        <v>202</v>
      </c>
      <c r="D6" s="1" t="str">
        <f t="shared" si="0"/>
        <v>Marketing</v>
      </c>
    </row>
    <row r="7" spans="1:9" x14ac:dyDescent="0.35">
      <c r="A7">
        <v>106</v>
      </c>
      <c r="B7" t="s">
        <v>160</v>
      </c>
      <c r="C7">
        <v>201</v>
      </c>
      <c r="D7" s="1" t="str">
        <f t="shared" si="0"/>
        <v>Sales</v>
      </c>
    </row>
    <row r="8" spans="1:9" x14ac:dyDescent="0.35">
      <c r="A8">
        <v>107</v>
      </c>
      <c r="B8" t="s">
        <v>161</v>
      </c>
      <c r="C8">
        <v>203</v>
      </c>
      <c r="D8" s="1" t="str">
        <f t="shared" si="0"/>
        <v>Finance</v>
      </c>
    </row>
    <row r="9" spans="1:9" x14ac:dyDescent="0.35">
      <c r="A9">
        <v>108</v>
      </c>
      <c r="B9" t="s">
        <v>162</v>
      </c>
      <c r="C9">
        <v>202</v>
      </c>
      <c r="D9" s="1" t="str">
        <f t="shared" si="0"/>
        <v>Marketing</v>
      </c>
    </row>
    <row r="10" spans="1:9" x14ac:dyDescent="0.35">
      <c r="A10">
        <v>109</v>
      </c>
      <c r="B10" t="s">
        <v>163</v>
      </c>
      <c r="C10">
        <v>201</v>
      </c>
      <c r="D10" s="1" t="str">
        <f t="shared" si="0"/>
        <v>Sales</v>
      </c>
    </row>
    <row r="11" spans="1:9" x14ac:dyDescent="0.35">
      <c r="A11">
        <v>110</v>
      </c>
      <c r="B11" t="s">
        <v>164</v>
      </c>
      <c r="C11">
        <v>203</v>
      </c>
      <c r="D11" s="1" t="str">
        <f t="shared" si="0"/>
        <v>Finance</v>
      </c>
    </row>
    <row r="12" spans="1:9" x14ac:dyDescent="0.35">
      <c r="A12">
        <v>111</v>
      </c>
      <c r="B12" t="s">
        <v>165</v>
      </c>
      <c r="C12">
        <v>202</v>
      </c>
      <c r="D12" s="1" t="str">
        <f t="shared" si="0"/>
        <v>Marketing</v>
      </c>
    </row>
    <row r="13" spans="1:9" x14ac:dyDescent="0.35">
      <c r="A13">
        <v>112</v>
      </c>
      <c r="B13" t="s">
        <v>166</v>
      </c>
      <c r="C13">
        <v>201</v>
      </c>
      <c r="D13" s="1" t="str">
        <f t="shared" si="0"/>
        <v>Sales</v>
      </c>
    </row>
    <row r="14" spans="1:9" x14ac:dyDescent="0.35">
      <c r="A14">
        <v>113</v>
      </c>
      <c r="B14" t="s">
        <v>167</v>
      </c>
      <c r="C14">
        <v>203</v>
      </c>
      <c r="D14" s="1" t="str">
        <f t="shared" si="0"/>
        <v>Finance</v>
      </c>
    </row>
    <row r="15" spans="1:9" x14ac:dyDescent="0.35">
      <c r="A15">
        <v>114</v>
      </c>
      <c r="B15" t="s">
        <v>168</v>
      </c>
      <c r="C15">
        <v>202</v>
      </c>
      <c r="D15" s="1" t="str">
        <f t="shared" si="0"/>
        <v>Marketing</v>
      </c>
    </row>
    <row r="16" spans="1:9" x14ac:dyDescent="0.35">
      <c r="A16">
        <v>115</v>
      </c>
      <c r="B16" t="s">
        <v>169</v>
      </c>
      <c r="C16">
        <v>201</v>
      </c>
      <c r="D16" s="1" t="str">
        <f t="shared" si="0"/>
        <v>Sales</v>
      </c>
    </row>
    <row r="17" spans="1:4" x14ac:dyDescent="0.35">
      <c r="A17">
        <v>116</v>
      </c>
      <c r="B17" t="s">
        <v>170</v>
      </c>
      <c r="C17">
        <v>203</v>
      </c>
      <c r="D17" s="1" t="str">
        <f t="shared" si="0"/>
        <v>Finance</v>
      </c>
    </row>
    <row r="18" spans="1:4" x14ac:dyDescent="0.35">
      <c r="A18">
        <v>117</v>
      </c>
      <c r="B18" t="s">
        <v>171</v>
      </c>
      <c r="C18">
        <v>202</v>
      </c>
      <c r="D18" s="1" t="str">
        <f t="shared" si="0"/>
        <v>Marketing</v>
      </c>
    </row>
    <row r="19" spans="1:4" x14ac:dyDescent="0.35">
      <c r="A19">
        <v>118</v>
      </c>
      <c r="B19" t="s">
        <v>172</v>
      </c>
      <c r="C19">
        <v>201</v>
      </c>
      <c r="D19" s="1" t="str">
        <f t="shared" si="0"/>
        <v>Sales</v>
      </c>
    </row>
    <row r="20" spans="1:4" x14ac:dyDescent="0.35">
      <c r="A20">
        <v>119</v>
      </c>
      <c r="B20" t="s">
        <v>173</v>
      </c>
      <c r="C20">
        <v>203</v>
      </c>
      <c r="D20" s="1" t="str">
        <f t="shared" si="0"/>
        <v>Finance</v>
      </c>
    </row>
    <row r="21" spans="1:4" x14ac:dyDescent="0.35">
      <c r="A21">
        <v>120</v>
      </c>
      <c r="B21" t="s">
        <v>174</v>
      </c>
      <c r="C21">
        <v>202</v>
      </c>
      <c r="D21" s="1" t="str">
        <f t="shared" si="0"/>
        <v>Marketing</v>
      </c>
    </row>
    <row r="22" spans="1:4" x14ac:dyDescent="0.35">
      <c r="A22">
        <v>121</v>
      </c>
      <c r="B22" t="s">
        <v>175</v>
      </c>
      <c r="C22">
        <v>201</v>
      </c>
      <c r="D22" s="1" t="str">
        <f t="shared" si="0"/>
        <v>Sales</v>
      </c>
    </row>
    <row r="23" spans="1:4" x14ac:dyDescent="0.35">
      <c r="A23">
        <v>122</v>
      </c>
      <c r="B23" t="s">
        <v>176</v>
      </c>
      <c r="C23">
        <v>203</v>
      </c>
      <c r="D23" s="1" t="str">
        <f t="shared" si="0"/>
        <v>Finance</v>
      </c>
    </row>
    <row r="24" spans="1:4" x14ac:dyDescent="0.35">
      <c r="A24">
        <v>123</v>
      </c>
      <c r="B24" t="s">
        <v>177</v>
      </c>
      <c r="C24">
        <v>202</v>
      </c>
      <c r="D24" s="1" t="str">
        <f t="shared" si="0"/>
        <v>Marketing</v>
      </c>
    </row>
    <row r="25" spans="1:4" x14ac:dyDescent="0.35">
      <c r="A25">
        <v>124</v>
      </c>
      <c r="B25" t="s">
        <v>178</v>
      </c>
      <c r="C25">
        <v>201</v>
      </c>
      <c r="D25" s="1" t="str">
        <f t="shared" si="0"/>
        <v>Sales</v>
      </c>
    </row>
    <row r="26" spans="1:4" x14ac:dyDescent="0.35">
      <c r="A26">
        <v>125</v>
      </c>
      <c r="B26" t="s">
        <v>179</v>
      </c>
      <c r="C26">
        <v>203</v>
      </c>
      <c r="D26" s="1" t="str">
        <f t="shared" si="0"/>
        <v>Finance</v>
      </c>
    </row>
    <row r="27" spans="1:4" x14ac:dyDescent="0.35">
      <c r="A27">
        <v>126</v>
      </c>
      <c r="B27" t="s">
        <v>180</v>
      </c>
      <c r="C27">
        <v>202</v>
      </c>
      <c r="D27" s="1" t="str">
        <f t="shared" si="0"/>
        <v>Marketing</v>
      </c>
    </row>
    <row r="28" spans="1:4" x14ac:dyDescent="0.35">
      <c r="A28">
        <v>127</v>
      </c>
      <c r="B28" t="s">
        <v>181</v>
      </c>
      <c r="C28">
        <v>201</v>
      </c>
      <c r="D28" s="1" t="str">
        <f t="shared" si="0"/>
        <v>Sales</v>
      </c>
    </row>
    <row r="29" spans="1:4" x14ac:dyDescent="0.35">
      <c r="A29">
        <v>128</v>
      </c>
      <c r="B29" t="s">
        <v>182</v>
      </c>
      <c r="C29">
        <v>203</v>
      </c>
      <c r="D29" s="1" t="str">
        <f t="shared" si="0"/>
        <v>Finance</v>
      </c>
    </row>
    <row r="30" spans="1:4" x14ac:dyDescent="0.35">
      <c r="A30">
        <v>129</v>
      </c>
      <c r="B30" t="s">
        <v>183</v>
      </c>
      <c r="C30">
        <v>202</v>
      </c>
      <c r="D30" s="1" t="str">
        <f t="shared" si="0"/>
        <v>Marketing</v>
      </c>
    </row>
    <row r="31" spans="1:4" x14ac:dyDescent="0.35">
      <c r="A31">
        <v>130</v>
      </c>
      <c r="B31" t="s">
        <v>184</v>
      </c>
      <c r="C31">
        <v>201</v>
      </c>
      <c r="D31" s="1" t="str">
        <f t="shared" si="0"/>
        <v>Sales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F7CAA-C959-4CBD-93A3-E8A92D94C6FC}">
  <sheetPr codeName="Sheet28"/>
  <dimension ref="A1:F21"/>
  <sheetViews>
    <sheetView zoomScale="160" zoomScaleNormal="160" workbookViewId="0">
      <selection activeCell="B2" sqref="B2"/>
    </sheetView>
  </sheetViews>
  <sheetFormatPr defaultRowHeight="14.5" x14ac:dyDescent="0.35"/>
  <cols>
    <col min="1" max="1" width="9.7265625" bestFit="1" customWidth="1"/>
    <col min="2" max="2" width="9.453125" bestFit="1" customWidth="1"/>
    <col min="3" max="3" width="11.54296875" bestFit="1" customWidth="1"/>
    <col min="4" max="4" width="26.90625" bestFit="1" customWidth="1"/>
  </cols>
  <sheetData>
    <row r="1" spans="1:6" x14ac:dyDescent="0.35">
      <c r="A1" t="s">
        <v>127</v>
      </c>
      <c r="B1" t="s">
        <v>128</v>
      </c>
      <c r="C1" t="s">
        <v>31</v>
      </c>
      <c r="D1" t="s">
        <v>204</v>
      </c>
      <c r="F1" t="s">
        <v>205</v>
      </c>
    </row>
    <row r="2" spans="1:6" x14ac:dyDescent="0.35">
      <c r="A2" t="s">
        <v>85</v>
      </c>
      <c r="B2" t="s">
        <v>95</v>
      </c>
      <c r="C2" t="s">
        <v>40</v>
      </c>
      <c r="D2" t="s">
        <v>74</v>
      </c>
      <c r="F2" t="s">
        <v>206</v>
      </c>
    </row>
    <row r="3" spans="1:6" x14ac:dyDescent="0.35">
      <c r="A3" t="s">
        <v>86</v>
      </c>
      <c r="B3" t="s">
        <v>96</v>
      </c>
      <c r="C3" t="s">
        <v>43</v>
      </c>
      <c r="D3" t="s">
        <v>75</v>
      </c>
    </row>
    <row r="4" spans="1:6" x14ac:dyDescent="0.35">
      <c r="A4" t="s">
        <v>87</v>
      </c>
      <c r="B4" t="s">
        <v>97</v>
      </c>
      <c r="C4" t="s">
        <v>104</v>
      </c>
      <c r="D4" t="s">
        <v>129</v>
      </c>
    </row>
    <row r="5" spans="1:6" x14ac:dyDescent="0.35">
      <c r="A5" t="s">
        <v>88</v>
      </c>
      <c r="B5" t="s">
        <v>98</v>
      </c>
      <c r="C5" t="s">
        <v>105</v>
      </c>
      <c r="D5" t="s">
        <v>76</v>
      </c>
    </row>
    <row r="6" spans="1:6" x14ac:dyDescent="0.35">
      <c r="A6" t="s">
        <v>89</v>
      </c>
      <c r="B6" t="s">
        <v>99</v>
      </c>
      <c r="C6" t="s">
        <v>106</v>
      </c>
      <c r="D6" t="s">
        <v>77</v>
      </c>
    </row>
    <row r="7" spans="1:6" x14ac:dyDescent="0.35">
      <c r="A7" t="s">
        <v>90</v>
      </c>
      <c r="B7" t="s">
        <v>73</v>
      </c>
      <c r="C7" t="s">
        <v>107</v>
      </c>
      <c r="D7" t="s">
        <v>130</v>
      </c>
    </row>
    <row r="8" spans="1:6" x14ac:dyDescent="0.35">
      <c r="A8" t="s">
        <v>91</v>
      </c>
      <c r="B8" t="s">
        <v>100</v>
      </c>
      <c r="C8" t="s">
        <v>40</v>
      </c>
      <c r="D8" t="s">
        <v>78</v>
      </c>
    </row>
    <row r="9" spans="1:6" x14ac:dyDescent="0.35">
      <c r="A9" t="s">
        <v>92</v>
      </c>
      <c r="B9" t="s">
        <v>101</v>
      </c>
      <c r="C9" t="s">
        <v>105</v>
      </c>
      <c r="D9" t="s">
        <v>79</v>
      </c>
    </row>
    <row r="10" spans="1:6" x14ac:dyDescent="0.35">
      <c r="A10" t="s">
        <v>93</v>
      </c>
      <c r="B10" t="s">
        <v>102</v>
      </c>
      <c r="C10" t="s">
        <v>43</v>
      </c>
      <c r="D10" t="s">
        <v>80</v>
      </c>
    </row>
    <row r="11" spans="1:6" x14ac:dyDescent="0.35">
      <c r="A11" t="s">
        <v>94</v>
      </c>
      <c r="B11" t="s">
        <v>103</v>
      </c>
      <c r="C11" t="s">
        <v>108</v>
      </c>
      <c r="D11" t="s">
        <v>81</v>
      </c>
    </row>
    <row r="12" spans="1:6" x14ac:dyDescent="0.35">
      <c r="A12" t="s">
        <v>109</v>
      </c>
      <c r="B12" t="s">
        <v>97</v>
      </c>
      <c r="C12" t="s">
        <v>104</v>
      </c>
      <c r="D12" t="s">
        <v>131</v>
      </c>
    </row>
    <row r="13" spans="1:6" x14ac:dyDescent="0.35">
      <c r="A13" t="s">
        <v>110</v>
      </c>
      <c r="B13" t="s">
        <v>73</v>
      </c>
      <c r="C13" t="s">
        <v>107</v>
      </c>
      <c r="D13" t="s">
        <v>132</v>
      </c>
    </row>
    <row r="14" spans="1:6" x14ac:dyDescent="0.35">
      <c r="A14" t="s">
        <v>111</v>
      </c>
      <c r="B14" t="s">
        <v>119</v>
      </c>
      <c r="C14" t="s">
        <v>124</v>
      </c>
      <c r="D14" t="s">
        <v>133</v>
      </c>
    </row>
    <row r="15" spans="1:6" x14ac:dyDescent="0.35">
      <c r="A15" t="s">
        <v>112</v>
      </c>
      <c r="B15" t="s">
        <v>120</v>
      </c>
      <c r="C15" t="s">
        <v>105</v>
      </c>
      <c r="D15" t="s">
        <v>82</v>
      </c>
    </row>
    <row r="16" spans="1:6" x14ac:dyDescent="0.35">
      <c r="A16" t="s">
        <v>113</v>
      </c>
      <c r="B16" t="s">
        <v>121</v>
      </c>
      <c r="C16" t="s">
        <v>43</v>
      </c>
      <c r="D16" t="s">
        <v>83</v>
      </c>
    </row>
    <row r="17" spans="1:4" x14ac:dyDescent="0.35">
      <c r="A17" t="s">
        <v>114</v>
      </c>
      <c r="B17" t="s">
        <v>72</v>
      </c>
      <c r="C17" t="s">
        <v>125</v>
      </c>
      <c r="D17" t="s">
        <v>134</v>
      </c>
    </row>
    <row r="18" spans="1:4" x14ac:dyDescent="0.35">
      <c r="A18" t="s">
        <v>115</v>
      </c>
      <c r="B18" t="s">
        <v>122</v>
      </c>
      <c r="C18" t="s">
        <v>124</v>
      </c>
      <c r="D18" t="s">
        <v>84</v>
      </c>
    </row>
    <row r="19" spans="1:4" x14ac:dyDescent="0.35">
      <c r="A19" t="s">
        <v>116</v>
      </c>
      <c r="B19" t="s">
        <v>123</v>
      </c>
      <c r="C19" t="s">
        <v>126</v>
      </c>
      <c r="D19" t="s">
        <v>135</v>
      </c>
    </row>
    <row r="20" spans="1:4" x14ac:dyDescent="0.35">
      <c r="A20" t="s">
        <v>117</v>
      </c>
      <c r="B20" t="s">
        <v>72</v>
      </c>
      <c r="C20" t="s">
        <v>125</v>
      </c>
      <c r="D20" t="s">
        <v>136</v>
      </c>
    </row>
    <row r="21" spans="1:4" x14ac:dyDescent="0.35">
      <c r="A21" t="s">
        <v>118</v>
      </c>
      <c r="B21" t="s">
        <v>73</v>
      </c>
      <c r="C21" t="s">
        <v>107</v>
      </c>
      <c r="D21" t="s">
        <v>137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8B17B-09B2-4EF9-BC50-5D0FE6596739}">
  <dimension ref="A1:E21"/>
  <sheetViews>
    <sheetView zoomScale="160" zoomScaleNormal="160" workbookViewId="0">
      <selection activeCell="D3" sqref="D3"/>
    </sheetView>
  </sheetViews>
  <sheetFormatPr defaultRowHeight="14.5" x14ac:dyDescent="0.35"/>
  <cols>
    <col min="1" max="1" width="9.7265625" bestFit="1" customWidth="1"/>
    <col min="2" max="2" width="9.453125" bestFit="1" customWidth="1"/>
    <col min="3" max="3" width="11.54296875" bestFit="1" customWidth="1"/>
    <col min="4" max="4" width="26.90625" bestFit="1" customWidth="1"/>
  </cols>
  <sheetData>
    <row r="1" spans="1:5" x14ac:dyDescent="0.35">
      <c r="A1" t="s">
        <v>127</v>
      </c>
      <c r="B1" t="s">
        <v>128</v>
      </c>
      <c r="C1" t="s">
        <v>31</v>
      </c>
      <c r="D1" t="s">
        <v>204</v>
      </c>
    </row>
    <row r="2" spans="1:5" x14ac:dyDescent="0.35">
      <c r="A2" t="s">
        <v>85</v>
      </c>
      <c r="B2" t="s">
        <v>95</v>
      </c>
      <c r="C2" t="s">
        <v>40</v>
      </c>
      <c r="D2" t="str">
        <f xml:space="preserve"> A2 &amp; " " &amp; B2 &amp; " (" &amp; C2 &amp; ")"</f>
        <v>Virat Kohli (India)</v>
      </c>
      <c r="E2" t="s">
        <v>207</v>
      </c>
    </row>
    <row r="3" spans="1:5" x14ac:dyDescent="0.35">
      <c r="A3" t="s">
        <v>86</v>
      </c>
      <c r="B3" t="s">
        <v>96</v>
      </c>
      <c r="C3" t="s">
        <v>43</v>
      </c>
      <c r="E3" t="s">
        <v>208</v>
      </c>
    </row>
    <row r="4" spans="1:5" x14ac:dyDescent="0.35">
      <c r="A4" t="s">
        <v>87</v>
      </c>
      <c r="B4" t="s">
        <v>97</v>
      </c>
      <c r="C4" t="s">
        <v>104</v>
      </c>
    </row>
    <row r="5" spans="1:5" x14ac:dyDescent="0.35">
      <c r="A5" t="s">
        <v>88</v>
      </c>
      <c r="B5" t="s">
        <v>98</v>
      </c>
      <c r="C5" t="s">
        <v>105</v>
      </c>
      <c r="E5" t="s">
        <v>209</v>
      </c>
    </row>
    <row r="6" spans="1:5" x14ac:dyDescent="0.35">
      <c r="A6" t="s">
        <v>89</v>
      </c>
      <c r="B6" t="s">
        <v>99</v>
      </c>
      <c r="C6" t="s">
        <v>106</v>
      </c>
    </row>
    <row r="7" spans="1:5" x14ac:dyDescent="0.35">
      <c r="A7" t="s">
        <v>90</v>
      </c>
      <c r="B7" t="s">
        <v>73</v>
      </c>
      <c r="C7" t="s">
        <v>107</v>
      </c>
    </row>
    <row r="8" spans="1:5" x14ac:dyDescent="0.35">
      <c r="A8" t="s">
        <v>91</v>
      </c>
      <c r="B8" t="s">
        <v>100</v>
      </c>
      <c r="C8" t="s">
        <v>40</v>
      </c>
    </row>
    <row r="9" spans="1:5" x14ac:dyDescent="0.35">
      <c r="A9" t="s">
        <v>92</v>
      </c>
      <c r="B9" t="s">
        <v>101</v>
      </c>
      <c r="C9" t="s">
        <v>105</v>
      </c>
    </row>
    <row r="10" spans="1:5" x14ac:dyDescent="0.35">
      <c r="A10" t="s">
        <v>93</v>
      </c>
      <c r="B10" t="s">
        <v>102</v>
      </c>
      <c r="C10" t="s">
        <v>43</v>
      </c>
    </row>
    <row r="11" spans="1:5" x14ac:dyDescent="0.35">
      <c r="A11" t="s">
        <v>94</v>
      </c>
      <c r="B11" t="s">
        <v>103</v>
      </c>
      <c r="C11" t="s">
        <v>108</v>
      </c>
    </row>
    <row r="12" spans="1:5" x14ac:dyDescent="0.35">
      <c r="A12" t="s">
        <v>109</v>
      </c>
      <c r="B12" t="s">
        <v>97</v>
      </c>
      <c r="C12" t="s">
        <v>104</v>
      </c>
    </row>
    <row r="13" spans="1:5" x14ac:dyDescent="0.35">
      <c r="A13" t="s">
        <v>110</v>
      </c>
      <c r="B13" t="s">
        <v>73</v>
      </c>
      <c r="C13" t="s">
        <v>107</v>
      </c>
    </row>
    <row r="14" spans="1:5" x14ac:dyDescent="0.35">
      <c r="A14" t="s">
        <v>111</v>
      </c>
      <c r="B14" t="s">
        <v>119</v>
      </c>
      <c r="C14" t="s">
        <v>124</v>
      </c>
    </row>
    <row r="15" spans="1:5" x14ac:dyDescent="0.35">
      <c r="A15" t="s">
        <v>112</v>
      </c>
      <c r="B15" t="s">
        <v>120</v>
      </c>
      <c r="C15" t="s">
        <v>105</v>
      </c>
    </row>
    <row r="16" spans="1:5" x14ac:dyDescent="0.35">
      <c r="A16" t="s">
        <v>113</v>
      </c>
      <c r="B16" t="s">
        <v>121</v>
      </c>
      <c r="C16" t="s">
        <v>43</v>
      </c>
    </row>
    <row r="17" spans="1:3" x14ac:dyDescent="0.35">
      <c r="A17" t="s">
        <v>114</v>
      </c>
      <c r="B17" t="s">
        <v>72</v>
      </c>
      <c r="C17" t="s">
        <v>125</v>
      </c>
    </row>
    <row r="18" spans="1:3" x14ac:dyDescent="0.35">
      <c r="A18" t="s">
        <v>115</v>
      </c>
      <c r="B18" t="s">
        <v>122</v>
      </c>
      <c r="C18" t="s">
        <v>124</v>
      </c>
    </row>
    <row r="19" spans="1:3" x14ac:dyDescent="0.35">
      <c r="A19" t="s">
        <v>116</v>
      </c>
      <c r="B19" t="s">
        <v>123</v>
      </c>
      <c r="C19" t="s">
        <v>126</v>
      </c>
    </row>
    <row r="20" spans="1:3" x14ac:dyDescent="0.35">
      <c r="A20" t="s">
        <v>117</v>
      </c>
      <c r="B20" t="s">
        <v>72</v>
      </c>
      <c r="C20" t="s">
        <v>125</v>
      </c>
    </row>
    <row r="21" spans="1:3" x14ac:dyDescent="0.35">
      <c r="A21" t="s">
        <v>118</v>
      </c>
      <c r="B21" t="s">
        <v>73</v>
      </c>
      <c r="C21" t="s">
        <v>107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33A2D-6A45-407C-829E-DCB65F1DBBB1}">
  <sheetPr codeName="Sheet29"/>
  <dimension ref="A1:F21"/>
  <sheetViews>
    <sheetView zoomScale="190" zoomScaleNormal="190" workbookViewId="0">
      <selection activeCell="F2" sqref="F2"/>
    </sheetView>
  </sheetViews>
  <sheetFormatPr defaultRowHeight="14.5" x14ac:dyDescent="0.35"/>
  <cols>
    <col min="1" max="1" width="26.90625" bestFit="1" customWidth="1"/>
    <col min="2" max="2" width="9.7265625" bestFit="1" customWidth="1"/>
    <col min="3" max="3" width="9.453125" bestFit="1" customWidth="1"/>
    <col min="4" max="4" width="7.453125" bestFit="1" customWidth="1"/>
  </cols>
  <sheetData>
    <row r="1" spans="1:6" x14ac:dyDescent="0.35">
      <c r="B1" t="s">
        <v>127</v>
      </c>
      <c r="C1" t="s">
        <v>128</v>
      </c>
      <c r="D1" t="s">
        <v>31</v>
      </c>
      <c r="F1" t="s">
        <v>210</v>
      </c>
    </row>
    <row r="2" spans="1:6" x14ac:dyDescent="0.35">
      <c r="A2" t="s">
        <v>74</v>
      </c>
      <c r="B2" t="s">
        <v>85</v>
      </c>
      <c r="C2" t="s">
        <v>95</v>
      </c>
      <c r="D2" t="s">
        <v>40</v>
      </c>
    </row>
    <row r="3" spans="1:6" x14ac:dyDescent="0.35">
      <c r="A3" t="s">
        <v>75</v>
      </c>
      <c r="B3" t="s">
        <v>86</v>
      </c>
      <c r="C3" t="s">
        <v>96</v>
      </c>
      <c r="D3" t="s">
        <v>43</v>
      </c>
    </row>
    <row r="4" spans="1:6" x14ac:dyDescent="0.35">
      <c r="A4" t="s">
        <v>129</v>
      </c>
      <c r="B4" t="s">
        <v>87</v>
      </c>
      <c r="C4" t="s">
        <v>97</v>
      </c>
      <c r="D4" t="s">
        <v>104</v>
      </c>
    </row>
    <row r="5" spans="1:6" x14ac:dyDescent="0.35">
      <c r="A5" t="s">
        <v>76</v>
      </c>
      <c r="B5" t="s">
        <v>88</v>
      </c>
      <c r="C5" t="s">
        <v>98</v>
      </c>
      <c r="D5" t="s">
        <v>105</v>
      </c>
    </row>
    <row r="6" spans="1:6" x14ac:dyDescent="0.35">
      <c r="A6" t="s">
        <v>77</v>
      </c>
      <c r="B6" t="s">
        <v>89</v>
      </c>
      <c r="C6" t="s">
        <v>99</v>
      </c>
      <c r="D6" t="s">
        <v>106</v>
      </c>
    </row>
    <row r="7" spans="1:6" x14ac:dyDescent="0.35">
      <c r="A7" t="s">
        <v>130</v>
      </c>
      <c r="B7" t="s">
        <v>90</v>
      </c>
      <c r="C7" t="s">
        <v>73</v>
      </c>
      <c r="D7" t="s">
        <v>107</v>
      </c>
    </row>
    <row r="8" spans="1:6" x14ac:dyDescent="0.35">
      <c r="A8" t="s">
        <v>78</v>
      </c>
      <c r="B8" t="s">
        <v>91</v>
      </c>
      <c r="C8" t="s">
        <v>100</v>
      </c>
      <c r="D8" t="s">
        <v>40</v>
      </c>
    </row>
    <row r="9" spans="1:6" x14ac:dyDescent="0.35">
      <c r="A9" t="s">
        <v>79</v>
      </c>
      <c r="B9" t="s">
        <v>92</v>
      </c>
      <c r="C9" t="s">
        <v>101</v>
      </c>
      <c r="D9" t="s">
        <v>105</v>
      </c>
    </row>
    <row r="10" spans="1:6" x14ac:dyDescent="0.35">
      <c r="A10" t="s">
        <v>80</v>
      </c>
      <c r="B10" t="s">
        <v>93</v>
      </c>
      <c r="C10" t="s">
        <v>102</v>
      </c>
      <c r="D10" t="s">
        <v>43</v>
      </c>
    </row>
    <row r="11" spans="1:6" x14ac:dyDescent="0.35">
      <c r="A11" t="s">
        <v>81</v>
      </c>
      <c r="B11" t="s">
        <v>94</v>
      </c>
      <c r="C11" t="s">
        <v>103</v>
      </c>
      <c r="D11" t="s">
        <v>108</v>
      </c>
    </row>
    <row r="12" spans="1:6" x14ac:dyDescent="0.35">
      <c r="A12" t="s">
        <v>131</v>
      </c>
      <c r="B12" t="s">
        <v>109</v>
      </c>
      <c r="C12" t="s">
        <v>97</v>
      </c>
      <c r="D12" t="s">
        <v>104</v>
      </c>
    </row>
    <row r="13" spans="1:6" x14ac:dyDescent="0.35">
      <c r="A13" t="s">
        <v>132</v>
      </c>
      <c r="B13" t="s">
        <v>110</v>
      </c>
      <c r="C13" t="s">
        <v>73</v>
      </c>
      <c r="D13" t="s">
        <v>107</v>
      </c>
    </row>
    <row r="14" spans="1:6" x14ac:dyDescent="0.35">
      <c r="A14" t="s">
        <v>133</v>
      </c>
      <c r="B14" t="s">
        <v>111</v>
      </c>
      <c r="C14" t="s">
        <v>119</v>
      </c>
      <c r="D14" t="s">
        <v>124</v>
      </c>
    </row>
    <row r="15" spans="1:6" x14ac:dyDescent="0.35">
      <c r="A15" t="s">
        <v>82</v>
      </c>
      <c r="B15" t="s">
        <v>112</v>
      </c>
      <c r="C15" t="s">
        <v>120</v>
      </c>
      <c r="D15" t="s">
        <v>105</v>
      </c>
    </row>
    <row r="16" spans="1:6" x14ac:dyDescent="0.35">
      <c r="A16" t="s">
        <v>83</v>
      </c>
      <c r="B16" t="s">
        <v>113</v>
      </c>
      <c r="C16" t="s">
        <v>121</v>
      </c>
      <c r="D16" t="s">
        <v>43</v>
      </c>
    </row>
    <row r="17" spans="1:4" x14ac:dyDescent="0.35">
      <c r="A17" t="s">
        <v>134</v>
      </c>
      <c r="B17" t="s">
        <v>114</v>
      </c>
      <c r="C17" t="s">
        <v>72</v>
      </c>
      <c r="D17" t="s">
        <v>125</v>
      </c>
    </row>
    <row r="18" spans="1:4" x14ac:dyDescent="0.35">
      <c r="A18" t="s">
        <v>84</v>
      </c>
      <c r="B18" t="s">
        <v>115</v>
      </c>
      <c r="C18" t="s">
        <v>122</v>
      </c>
      <c r="D18" t="s">
        <v>124</v>
      </c>
    </row>
    <row r="19" spans="1:4" x14ac:dyDescent="0.35">
      <c r="A19" t="s">
        <v>135</v>
      </c>
      <c r="B19" t="s">
        <v>116</v>
      </c>
      <c r="C19" t="s">
        <v>123</v>
      </c>
      <c r="D19" t="s">
        <v>126</v>
      </c>
    </row>
    <row r="20" spans="1:4" x14ac:dyDescent="0.35">
      <c r="A20" t="s">
        <v>136</v>
      </c>
      <c r="B20" t="s">
        <v>117</v>
      </c>
      <c r="C20" t="s">
        <v>72</v>
      </c>
      <c r="D20" t="s">
        <v>125</v>
      </c>
    </row>
    <row r="21" spans="1:4" x14ac:dyDescent="0.35">
      <c r="A21" t="s">
        <v>137</v>
      </c>
      <c r="B21" t="s">
        <v>118</v>
      </c>
      <c r="C21" t="s">
        <v>73</v>
      </c>
      <c r="D21" t="s">
        <v>107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23CBF-D545-4F13-945D-060C7C0CCE23}">
  <dimension ref="A1:F21"/>
  <sheetViews>
    <sheetView zoomScale="190" zoomScaleNormal="190" workbookViewId="0">
      <selection activeCell="F4" sqref="F4"/>
    </sheetView>
  </sheetViews>
  <sheetFormatPr defaultRowHeight="14.5" x14ac:dyDescent="0.35"/>
  <cols>
    <col min="1" max="1" width="26.90625" bestFit="1" customWidth="1"/>
    <col min="2" max="2" width="9.7265625" bestFit="1" customWidth="1"/>
    <col min="3" max="3" width="9.453125" bestFit="1" customWidth="1"/>
    <col min="4" max="4" width="11.54296875" bestFit="1" customWidth="1"/>
  </cols>
  <sheetData>
    <row r="1" spans="1:6" x14ac:dyDescent="0.35">
      <c r="B1" t="s">
        <v>127</v>
      </c>
      <c r="C1" t="s">
        <v>128</v>
      </c>
      <c r="D1" t="s">
        <v>31</v>
      </c>
      <c r="F1" t="s">
        <v>211</v>
      </c>
    </row>
    <row r="2" spans="1:6" x14ac:dyDescent="0.35">
      <c r="A2" t="s">
        <v>74</v>
      </c>
      <c r="B2" t="str">
        <f>LEFT(A2, FIND(" ", A2)-1)</f>
        <v>Virat</v>
      </c>
      <c r="C2" t="str">
        <f>MID(A2, FIND(" ", A2)+1, FIND("(", A2) - FIND(" ", A2) - 2)</f>
        <v>Kohli</v>
      </c>
      <c r="D2" t="str">
        <f>MID(A2, FIND("(", A2)+1, LEN(A2) - FIND("(", A2) - 1)</f>
        <v>India</v>
      </c>
    </row>
    <row r="3" spans="1:6" x14ac:dyDescent="0.35">
      <c r="A3" t="s">
        <v>75</v>
      </c>
      <c r="B3" t="str">
        <f t="shared" ref="B3:B21" si="0">LEFT(A3, FIND(" ", A3)-1)</f>
        <v>Steve</v>
      </c>
      <c r="C3" t="str">
        <f t="shared" ref="C3:C21" si="1">MID(A3, FIND(" ", A3)+1, FIND("(", A3) - FIND(" ", A3) - 2)</f>
        <v>Smith</v>
      </c>
      <c r="D3" t="str">
        <f t="shared" ref="D3:D21" si="2">MID(A3, FIND("(", A3)+1, LEN(A3) - FIND("(", A3) - 1)</f>
        <v>Australia</v>
      </c>
      <c r="F3" t="s">
        <v>212</v>
      </c>
    </row>
    <row r="4" spans="1:6" x14ac:dyDescent="0.35">
      <c r="A4" t="s">
        <v>129</v>
      </c>
      <c r="B4" t="str">
        <f t="shared" si="0"/>
        <v>Kane</v>
      </c>
      <c r="C4" t="str">
        <f t="shared" si="1"/>
        <v>New</v>
      </c>
      <c r="D4" t="str">
        <f t="shared" si="2"/>
        <v>New Zealand</v>
      </c>
    </row>
    <row r="5" spans="1:6" x14ac:dyDescent="0.35">
      <c r="A5" t="s">
        <v>76</v>
      </c>
      <c r="B5" t="str">
        <f t="shared" si="0"/>
        <v>Joe</v>
      </c>
      <c r="C5" t="str">
        <f t="shared" si="1"/>
        <v>Root</v>
      </c>
      <c r="D5" t="str">
        <f t="shared" si="2"/>
        <v>England</v>
      </c>
    </row>
    <row r="6" spans="1:6" x14ac:dyDescent="0.35">
      <c r="A6" t="s">
        <v>77</v>
      </c>
      <c r="B6" t="str">
        <f t="shared" si="0"/>
        <v>Babar</v>
      </c>
      <c r="C6" t="str">
        <f t="shared" si="1"/>
        <v>Azam</v>
      </c>
      <c r="D6" t="str">
        <f t="shared" si="2"/>
        <v>Pakistan</v>
      </c>
    </row>
    <row r="7" spans="1:6" x14ac:dyDescent="0.35">
      <c r="A7" t="s">
        <v>130</v>
      </c>
      <c r="B7" t="str">
        <f t="shared" si="0"/>
        <v>Quinton</v>
      </c>
      <c r="C7" t="str">
        <f t="shared" si="1"/>
        <v>South</v>
      </c>
      <c r="D7" t="str">
        <f t="shared" si="2"/>
        <v>South Africa</v>
      </c>
    </row>
    <row r="8" spans="1:6" x14ac:dyDescent="0.35">
      <c r="A8" t="s">
        <v>78</v>
      </c>
      <c r="B8" t="str">
        <f t="shared" si="0"/>
        <v>Jasprit</v>
      </c>
      <c r="C8" t="str">
        <f t="shared" si="1"/>
        <v>Bumrah</v>
      </c>
      <c r="D8" t="str">
        <f t="shared" si="2"/>
        <v>India</v>
      </c>
    </row>
    <row r="9" spans="1:6" x14ac:dyDescent="0.35">
      <c r="A9" t="s">
        <v>79</v>
      </c>
      <c r="B9" t="str">
        <f t="shared" si="0"/>
        <v>Ben</v>
      </c>
      <c r="C9" t="str">
        <f t="shared" si="1"/>
        <v>Stokes</v>
      </c>
      <c r="D9" t="str">
        <f t="shared" si="2"/>
        <v>England</v>
      </c>
    </row>
    <row r="10" spans="1:6" x14ac:dyDescent="0.35">
      <c r="A10" t="s">
        <v>80</v>
      </c>
      <c r="B10" t="str">
        <f t="shared" si="0"/>
        <v>David</v>
      </c>
      <c r="C10" t="str">
        <f t="shared" si="1"/>
        <v>Warner</v>
      </c>
      <c r="D10" t="str">
        <f t="shared" si="2"/>
        <v>Australia</v>
      </c>
    </row>
    <row r="11" spans="1:6" x14ac:dyDescent="0.35">
      <c r="A11" t="s">
        <v>81</v>
      </c>
      <c r="B11" t="str">
        <f t="shared" si="0"/>
        <v>Rashid</v>
      </c>
      <c r="C11" t="str">
        <f t="shared" si="1"/>
        <v>Khan</v>
      </c>
      <c r="D11" t="str">
        <f t="shared" si="2"/>
        <v>Afghanistan</v>
      </c>
    </row>
    <row r="12" spans="1:6" x14ac:dyDescent="0.35">
      <c r="A12" t="s">
        <v>131</v>
      </c>
      <c r="B12" t="str">
        <f t="shared" si="0"/>
        <v>Ross</v>
      </c>
      <c r="C12" t="str">
        <f t="shared" si="1"/>
        <v>New</v>
      </c>
      <c r="D12" t="str">
        <f t="shared" si="2"/>
        <v>New Zealand</v>
      </c>
    </row>
    <row r="13" spans="1:6" x14ac:dyDescent="0.35">
      <c r="A13" t="s">
        <v>132</v>
      </c>
      <c r="B13" t="str">
        <f t="shared" si="0"/>
        <v>Faf</v>
      </c>
      <c r="C13" t="str">
        <f t="shared" si="1"/>
        <v>South</v>
      </c>
      <c r="D13" t="str">
        <f t="shared" si="2"/>
        <v>South Africa</v>
      </c>
    </row>
    <row r="14" spans="1:6" x14ac:dyDescent="0.35">
      <c r="A14" t="s">
        <v>133</v>
      </c>
      <c r="B14" t="str">
        <f t="shared" si="0"/>
        <v>Shakib</v>
      </c>
      <c r="C14" t="str">
        <f t="shared" si="1"/>
        <v>Hasan</v>
      </c>
      <c r="D14" t="str">
        <f t="shared" si="2"/>
        <v>Bangladesh</v>
      </c>
    </row>
    <row r="15" spans="1:6" x14ac:dyDescent="0.35">
      <c r="A15" t="s">
        <v>82</v>
      </c>
      <c r="B15" t="str">
        <f t="shared" si="0"/>
        <v>Eoin</v>
      </c>
      <c r="C15" t="str">
        <f t="shared" si="1"/>
        <v>Morgan</v>
      </c>
      <c r="D15" t="str">
        <f t="shared" si="2"/>
        <v>England</v>
      </c>
    </row>
    <row r="16" spans="1:6" x14ac:dyDescent="0.35">
      <c r="A16" t="s">
        <v>83</v>
      </c>
      <c r="B16" t="str">
        <f t="shared" si="0"/>
        <v>Pat</v>
      </c>
      <c r="C16" t="str">
        <f t="shared" si="1"/>
        <v>Cummins</v>
      </c>
      <c r="D16" t="str">
        <f t="shared" si="2"/>
        <v>Australia</v>
      </c>
    </row>
    <row r="17" spans="1:4" x14ac:dyDescent="0.35">
      <c r="A17" t="s">
        <v>134</v>
      </c>
      <c r="B17" t="str">
        <f t="shared" si="0"/>
        <v>Shai</v>
      </c>
      <c r="C17" t="str">
        <f t="shared" si="1"/>
        <v>West</v>
      </c>
      <c r="D17" t="str">
        <f t="shared" si="2"/>
        <v>West Indies</v>
      </c>
    </row>
    <row r="18" spans="1:4" x14ac:dyDescent="0.35">
      <c r="A18" t="s">
        <v>84</v>
      </c>
      <c r="B18" t="str">
        <f t="shared" si="0"/>
        <v>Mushfiqur</v>
      </c>
      <c r="C18" t="str">
        <f t="shared" si="1"/>
        <v>Rahim</v>
      </c>
      <c r="D18" t="str">
        <f t="shared" si="2"/>
        <v>Bangladesh</v>
      </c>
    </row>
    <row r="19" spans="1:4" x14ac:dyDescent="0.35">
      <c r="A19" t="s">
        <v>135</v>
      </c>
      <c r="B19" t="str">
        <f t="shared" si="0"/>
        <v>Lasith</v>
      </c>
      <c r="C19" t="str">
        <f t="shared" si="1"/>
        <v>Sri</v>
      </c>
      <c r="D19" t="str">
        <f t="shared" si="2"/>
        <v>Sri Lanka</v>
      </c>
    </row>
    <row r="20" spans="1:4" x14ac:dyDescent="0.35">
      <c r="A20" t="s">
        <v>136</v>
      </c>
      <c r="B20" t="str">
        <f t="shared" si="0"/>
        <v>Jason</v>
      </c>
      <c r="C20" t="str">
        <f t="shared" si="1"/>
        <v>West</v>
      </c>
      <c r="D20" t="str">
        <f t="shared" si="2"/>
        <v>West Indies</v>
      </c>
    </row>
    <row r="21" spans="1:4" x14ac:dyDescent="0.35">
      <c r="A21" t="s">
        <v>137</v>
      </c>
      <c r="B21" t="str">
        <f t="shared" si="0"/>
        <v>Kagiso</v>
      </c>
      <c r="C21" t="str">
        <f t="shared" si="1"/>
        <v>South</v>
      </c>
      <c r="D21" t="str">
        <f t="shared" si="2"/>
        <v>South Africa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57759-EDE0-453F-8B4A-E89C75B69BC9}">
  <sheetPr codeName="Sheet30"/>
  <dimension ref="A1:F21"/>
  <sheetViews>
    <sheetView zoomScale="190" zoomScaleNormal="190" workbookViewId="0">
      <selection activeCell="F2" sqref="F2"/>
    </sheetView>
  </sheetViews>
  <sheetFormatPr defaultRowHeight="14.5" x14ac:dyDescent="0.35"/>
  <cols>
    <col min="1" max="1" width="26.90625" bestFit="1" customWidth="1"/>
    <col min="2" max="2" width="9.7265625" bestFit="1" customWidth="1"/>
    <col min="3" max="3" width="9.36328125" customWidth="1"/>
    <col min="4" max="4" width="7.453125" bestFit="1" customWidth="1"/>
  </cols>
  <sheetData>
    <row r="1" spans="1:6" x14ac:dyDescent="0.35">
      <c r="B1" t="s">
        <v>127</v>
      </c>
      <c r="C1" t="s">
        <v>128</v>
      </c>
      <c r="D1" t="s">
        <v>31</v>
      </c>
      <c r="F1" t="s">
        <v>210</v>
      </c>
    </row>
    <row r="2" spans="1:6" x14ac:dyDescent="0.35">
      <c r="A2" t="s">
        <v>74</v>
      </c>
      <c r="B2" t="s">
        <v>213</v>
      </c>
      <c r="C2" t="s">
        <v>222</v>
      </c>
      <c r="D2" t="s">
        <v>231</v>
      </c>
    </row>
    <row r="3" spans="1:6" x14ac:dyDescent="0.35">
      <c r="A3" t="s">
        <v>75</v>
      </c>
      <c r="B3" t="s">
        <v>214</v>
      </c>
      <c r="C3" t="s">
        <v>223</v>
      </c>
      <c r="D3" t="s">
        <v>232</v>
      </c>
    </row>
    <row r="4" spans="1:6" x14ac:dyDescent="0.35">
      <c r="A4" t="s">
        <v>129</v>
      </c>
      <c r="B4" t="s">
        <v>215</v>
      </c>
      <c r="C4" t="s">
        <v>224</v>
      </c>
      <c r="D4" t="s">
        <v>233</v>
      </c>
    </row>
    <row r="5" spans="1:6" x14ac:dyDescent="0.35">
      <c r="A5" t="s">
        <v>76</v>
      </c>
      <c r="B5" t="s">
        <v>216</v>
      </c>
      <c r="C5" t="s">
        <v>225</v>
      </c>
      <c r="D5" t="s">
        <v>234</v>
      </c>
    </row>
    <row r="6" spans="1:6" x14ac:dyDescent="0.35">
      <c r="A6" t="s">
        <v>77</v>
      </c>
      <c r="B6" t="s">
        <v>217</v>
      </c>
      <c r="C6" t="s">
        <v>226</v>
      </c>
      <c r="D6" t="s">
        <v>235</v>
      </c>
    </row>
    <row r="7" spans="1:6" x14ac:dyDescent="0.35">
      <c r="A7" t="s">
        <v>130</v>
      </c>
      <c r="B7" t="s">
        <v>218</v>
      </c>
      <c r="C7" t="s">
        <v>227</v>
      </c>
      <c r="D7" t="s">
        <v>236</v>
      </c>
    </row>
    <row r="8" spans="1:6" x14ac:dyDescent="0.35">
      <c r="A8" t="s">
        <v>78</v>
      </c>
      <c r="B8" t="s">
        <v>219</v>
      </c>
      <c r="C8" t="s">
        <v>228</v>
      </c>
      <c r="D8" t="s">
        <v>231</v>
      </c>
    </row>
    <row r="9" spans="1:6" x14ac:dyDescent="0.35">
      <c r="A9" t="s">
        <v>79</v>
      </c>
      <c r="B9" t="s">
        <v>220</v>
      </c>
      <c r="C9" t="s">
        <v>229</v>
      </c>
      <c r="D9" t="s">
        <v>234</v>
      </c>
    </row>
    <row r="10" spans="1:6" x14ac:dyDescent="0.35">
      <c r="A10" t="s">
        <v>80</v>
      </c>
      <c r="B10" t="s">
        <v>221</v>
      </c>
      <c r="C10" t="s">
        <v>230</v>
      </c>
      <c r="D10" t="s">
        <v>232</v>
      </c>
    </row>
    <row r="11" spans="1:6" x14ac:dyDescent="0.35">
      <c r="A11" t="s">
        <v>81</v>
      </c>
      <c r="B11" t="s">
        <v>237</v>
      </c>
      <c r="C11" t="s">
        <v>248</v>
      </c>
      <c r="D11" t="s">
        <v>255</v>
      </c>
    </row>
    <row r="12" spans="1:6" x14ac:dyDescent="0.35">
      <c r="A12" t="s">
        <v>131</v>
      </c>
      <c r="B12" t="s">
        <v>238</v>
      </c>
      <c r="C12" t="s">
        <v>224</v>
      </c>
      <c r="D12" t="s">
        <v>233</v>
      </c>
    </row>
    <row r="13" spans="1:6" x14ac:dyDescent="0.35">
      <c r="A13" t="s">
        <v>132</v>
      </c>
      <c r="B13" t="s">
        <v>239</v>
      </c>
      <c r="C13" t="s">
        <v>227</v>
      </c>
      <c r="D13" t="s">
        <v>236</v>
      </c>
    </row>
    <row r="14" spans="1:6" x14ac:dyDescent="0.35">
      <c r="A14" t="s">
        <v>133</v>
      </c>
      <c r="B14" t="s">
        <v>240</v>
      </c>
      <c r="C14" t="s">
        <v>249</v>
      </c>
      <c r="D14" t="s">
        <v>256</v>
      </c>
    </row>
    <row r="15" spans="1:6" x14ac:dyDescent="0.35">
      <c r="A15" t="s">
        <v>82</v>
      </c>
      <c r="B15" t="s">
        <v>241</v>
      </c>
      <c r="C15" t="s">
        <v>250</v>
      </c>
      <c r="D15" t="s">
        <v>234</v>
      </c>
    </row>
    <row r="16" spans="1:6" x14ac:dyDescent="0.35">
      <c r="A16" t="s">
        <v>83</v>
      </c>
      <c r="B16" t="s">
        <v>242</v>
      </c>
      <c r="C16" t="s">
        <v>251</v>
      </c>
      <c r="D16" t="s">
        <v>232</v>
      </c>
    </row>
    <row r="17" spans="1:4" x14ac:dyDescent="0.35">
      <c r="A17" t="s">
        <v>134</v>
      </c>
      <c r="B17" t="s">
        <v>243</v>
      </c>
      <c r="C17" t="s">
        <v>252</v>
      </c>
      <c r="D17" t="s">
        <v>257</v>
      </c>
    </row>
    <row r="18" spans="1:4" x14ac:dyDescent="0.35">
      <c r="A18" t="s">
        <v>84</v>
      </c>
      <c r="B18" t="s">
        <v>244</v>
      </c>
      <c r="C18" t="s">
        <v>253</v>
      </c>
      <c r="D18" t="s">
        <v>256</v>
      </c>
    </row>
    <row r="19" spans="1:4" x14ac:dyDescent="0.35">
      <c r="A19" t="s">
        <v>135</v>
      </c>
      <c r="B19" t="s">
        <v>245</v>
      </c>
      <c r="C19" t="s">
        <v>254</v>
      </c>
      <c r="D19" t="s">
        <v>258</v>
      </c>
    </row>
    <row r="20" spans="1:4" x14ac:dyDescent="0.35">
      <c r="A20" t="s">
        <v>136</v>
      </c>
      <c r="B20" t="s">
        <v>246</v>
      </c>
      <c r="C20" t="s">
        <v>252</v>
      </c>
      <c r="D20" t="s">
        <v>257</v>
      </c>
    </row>
    <row r="21" spans="1:4" x14ac:dyDescent="0.35">
      <c r="A21" t="s">
        <v>137</v>
      </c>
      <c r="B21" t="s">
        <v>247</v>
      </c>
      <c r="C21" t="s">
        <v>227</v>
      </c>
      <c r="D21" t="s">
        <v>236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5C2E7-1228-4148-89B5-5277DDB1E953}">
  <dimension ref="A1:D21"/>
  <sheetViews>
    <sheetView zoomScale="190" zoomScaleNormal="190" workbookViewId="0">
      <selection activeCell="C3" sqref="C3"/>
    </sheetView>
  </sheetViews>
  <sheetFormatPr defaultRowHeight="14.5" x14ac:dyDescent="0.35"/>
  <cols>
    <col min="1" max="1" width="26.90625" bestFit="1" customWidth="1"/>
    <col min="2" max="2" width="9.7265625" bestFit="1" customWidth="1"/>
    <col min="3" max="3" width="9.36328125" customWidth="1"/>
    <col min="4" max="4" width="7.453125" bestFit="1" customWidth="1"/>
  </cols>
  <sheetData>
    <row r="1" spans="1:4" x14ac:dyDescent="0.35">
      <c r="B1" t="s">
        <v>127</v>
      </c>
      <c r="C1" t="s">
        <v>128</v>
      </c>
      <c r="D1" t="s">
        <v>31</v>
      </c>
    </row>
    <row r="2" spans="1:4" x14ac:dyDescent="0.35">
      <c r="A2" t="s">
        <v>74</v>
      </c>
      <c r="B2" t="str">
        <f>UPPER(LEFT(A2, FIND(" ", A2)-1))</f>
        <v>VIRAT</v>
      </c>
      <c r="C2" t="str">
        <f>UPPER(MID(A2, FIND(" ", A2)+1, FIND("(", A2) - FIND(" ", A2) - 2))</f>
        <v>KOHLI</v>
      </c>
      <c r="D2" t="str">
        <f>UPPER(TRIM(MID(A2, FIND("(", A2)+1, LEN(A2) - FIND("(", A2) - 1)))</f>
        <v>INDIA</v>
      </c>
    </row>
    <row r="3" spans="1:4" x14ac:dyDescent="0.35">
      <c r="A3" t="s">
        <v>75</v>
      </c>
      <c r="B3" t="str">
        <f t="shared" ref="B3:B21" si="0">UPPER(LEFT(A3, FIND(" ", A3)-1))</f>
        <v>STEVE</v>
      </c>
      <c r="C3" t="str">
        <f t="shared" ref="C3:C21" si="1">UPPER(MID(A3, FIND(" ", A3)+1, FIND("(", A3) - FIND(" ", A3) - 2))</f>
        <v>SMITH</v>
      </c>
      <c r="D3" t="str">
        <f t="shared" ref="D3:D21" si="2">UPPER(TRIM(MID(A3, FIND("(", A3)+1, LEN(A3) - FIND("(", A3) - 1)))</f>
        <v>AUSTRALIA</v>
      </c>
    </row>
    <row r="4" spans="1:4" x14ac:dyDescent="0.35">
      <c r="A4" t="s">
        <v>129</v>
      </c>
      <c r="B4" t="str">
        <f t="shared" si="0"/>
        <v>KANE</v>
      </c>
      <c r="C4" t="str">
        <f t="shared" si="1"/>
        <v>NEW</v>
      </c>
      <c r="D4" t="str">
        <f t="shared" si="2"/>
        <v>NEW ZEALAND</v>
      </c>
    </row>
    <row r="5" spans="1:4" x14ac:dyDescent="0.35">
      <c r="A5" t="s">
        <v>76</v>
      </c>
      <c r="B5" t="str">
        <f t="shared" si="0"/>
        <v>JOE</v>
      </c>
      <c r="C5" t="str">
        <f t="shared" si="1"/>
        <v>ROOT</v>
      </c>
      <c r="D5" t="str">
        <f t="shared" si="2"/>
        <v>ENGLAND</v>
      </c>
    </row>
    <row r="6" spans="1:4" x14ac:dyDescent="0.35">
      <c r="A6" t="s">
        <v>77</v>
      </c>
      <c r="B6" t="str">
        <f t="shared" si="0"/>
        <v>BABAR</v>
      </c>
      <c r="C6" t="str">
        <f t="shared" si="1"/>
        <v>AZAM</v>
      </c>
      <c r="D6" t="str">
        <f t="shared" si="2"/>
        <v>PAKISTAN</v>
      </c>
    </row>
    <row r="7" spans="1:4" x14ac:dyDescent="0.35">
      <c r="A7" t="s">
        <v>130</v>
      </c>
      <c r="B7" t="str">
        <f t="shared" si="0"/>
        <v>QUINTON</v>
      </c>
      <c r="C7" t="str">
        <f t="shared" si="1"/>
        <v>SOUTH</v>
      </c>
      <c r="D7" t="str">
        <f t="shared" si="2"/>
        <v>SOUTH AFRICA</v>
      </c>
    </row>
    <row r="8" spans="1:4" x14ac:dyDescent="0.35">
      <c r="A8" t="s">
        <v>78</v>
      </c>
      <c r="B8" t="str">
        <f t="shared" si="0"/>
        <v>JASPRIT</v>
      </c>
      <c r="C8" t="str">
        <f t="shared" si="1"/>
        <v>BUMRAH</v>
      </c>
      <c r="D8" t="str">
        <f t="shared" si="2"/>
        <v>INDIA</v>
      </c>
    </row>
    <row r="9" spans="1:4" x14ac:dyDescent="0.35">
      <c r="A9" t="s">
        <v>79</v>
      </c>
      <c r="B9" t="str">
        <f t="shared" si="0"/>
        <v>BEN</v>
      </c>
      <c r="C9" t="str">
        <f t="shared" si="1"/>
        <v>STOKES</v>
      </c>
      <c r="D9" t="str">
        <f t="shared" si="2"/>
        <v>ENGLAND</v>
      </c>
    </row>
    <row r="10" spans="1:4" x14ac:dyDescent="0.35">
      <c r="A10" t="s">
        <v>80</v>
      </c>
      <c r="B10" t="str">
        <f t="shared" si="0"/>
        <v>DAVID</v>
      </c>
      <c r="C10" t="str">
        <f t="shared" si="1"/>
        <v>WARNER</v>
      </c>
      <c r="D10" t="str">
        <f t="shared" si="2"/>
        <v>AUSTRALIA</v>
      </c>
    </row>
    <row r="11" spans="1:4" x14ac:dyDescent="0.35">
      <c r="A11" t="s">
        <v>81</v>
      </c>
      <c r="B11" t="str">
        <f t="shared" si="0"/>
        <v>RASHID</v>
      </c>
      <c r="C11" t="str">
        <f t="shared" si="1"/>
        <v>KHAN</v>
      </c>
      <c r="D11" t="str">
        <f t="shared" si="2"/>
        <v>AFGHANISTAN</v>
      </c>
    </row>
    <row r="12" spans="1:4" x14ac:dyDescent="0.35">
      <c r="A12" t="s">
        <v>131</v>
      </c>
      <c r="B12" t="str">
        <f t="shared" si="0"/>
        <v>ROSS</v>
      </c>
      <c r="C12" t="str">
        <f t="shared" si="1"/>
        <v>NEW</v>
      </c>
      <c r="D12" t="str">
        <f t="shared" si="2"/>
        <v>NEW ZEALAND</v>
      </c>
    </row>
    <row r="13" spans="1:4" x14ac:dyDescent="0.35">
      <c r="A13" t="s">
        <v>132</v>
      </c>
      <c r="B13" t="str">
        <f t="shared" si="0"/>
        <v>FAF</v>
      </c>
      <c r="C13" t="str">
        <f t="shared" si="1"/>
        <v>SOUTH</v>
      </c>
      <c r="D13" t="str">
        <f t="shared" si="2"/>
        <v>SOUTH AFRICA</v>
      </c>
    </row>
    <row r="14" spans="1:4" x14ac:dyDescent="0.35">
      <c r="A14" t="s">
        <v>133</v>
      </c>
      <c r="B14" t="str">
        <f t="shared" si="0"/>
        <v>SHAKIB</v>
      </c>
      <c r="C14" t="str">
        <f t="shared" si="1"/>
        <v>HASAN</v>
      </c>
      <c r="D14" t="str">
        <f t="shared" si="2"/>
        <v>BANGLADESH</v>
      </c>
    </row>
    <row r="15" spans="1:4" x14ac:dyDescent="0.35">
      <c r="A15" t="s">
        <v>82</v>
      </c>
      <c r="B15" t="str">
        <f t="shared" si="0"/>
        <v>EOIN</v>
      </c>
      <c r="C15" t="str">
        <f t="shared" si="1"/>
        <v>MORGAN</v>
      </c>
      <c r="D15" t="str">
        <f t="shared" si="2"/>
        <v>ENGLAND</v>
      </c>
    </row>
    <row r="16" spans="1:4" x14ac:dyDescent="0.35">
      <c r="A16" t="s">
        <v>83</v>
      </c>
      <c r="B16" t="str">
        <f t="shared" si="0"/>
        <v>PAT</v>
      </c>
      <c r="C16" t="str">
        <f t="shared" si="1"/>
        <v>CUMMINS</v>
      </c>
      <c r="D16" t="str">
        <f t="shared" si="2"/>
        <v>AUSTRALIA</v>
      </c>
    </row>
    <row r="17" spans="1:4" x14ac:dyDescent="0.35">
      <c r="A17" t="s">
        <v>134</v>
      </c>
      <c r="B17" t="str">
        <f t="shared" si="0"/>
        <v>SHAI</v>
      </c>
      <c r="C17" t="str">
        <f t="shared" si="1"/>
        <v>WEST</v>
      </c>
      <c r="D17" t="str">
        <f t="shared" si="2"/>
        <v>WEST INDIES</v>
      </c>
    </row>
    <row r="18" spans="1:4" x14ac:dyDescent="0.35">
      <c r="A18" t="s">
        <v>84</v>
      </c>
      <c r="B18" t="str">
        <f t="shared" si="0"/>
        <v>MUSHFIQUR</v>
      </c>
      <c r="C18" t="str">
        <f t="shared" si="1"/>
        <v>RAHIM</v>
      </c>
      <c r="D18" t="str">
        <f t="shared" si="2"/>
        <v>BANGLADESH</v>
      </c>
    </row>
    <row r="19" spans="1:4" x14ac:dyDescent="0.35">
      <c r="A19" t="s">
        <v>135</v>
      </c>
      <c r="B19" t="str">
        <f t="shared" si="0"/>
        <v>LASITH</v>
      </c>
      <c r="C19" t="str">
        <f t="shared" si="1"/>
        <v>SRI</v>
      </c>
      <c r="D19" t="str">
        <f t="shared" si="2"/>
        <v>SRI LANKA</v>
      </c>
    </row>
    <row r="20" spans="1:4" x14ac:dyDescent="0.35">
      <c r="A20" t="s">
        <v>136</v>
      </c>
      <c r="B20" t="str">
        <f t="shared" si="0"/>
        <v>JASON</v>
      </c>
      <c r="C20" t="str">
        <f t="shared" si="1"/>
        <v>WEST</v>
      </c>
      <c r="D20" t="str">
        <f t="shared" si="2"/>
        <v>WEST INDIES</v>
      </c>
    </row>
    <row r="21" spans="1:4" x14ac:dyDescent="0.35">
      <c r="A21" t="s">
        <v>137</v>
      </c>
      <c r="B21" t="str">
        <f t="shared" si="0"/>
        <v>KAGISO</v>
      </c>
      <c r="C21" t="str">
        <f t="shared" si="1"/>
        <v>SOUTH</v>
      </c>
      <c r="D21" t="str">
        <f t="shared" si="2"/>
        <v>SOUTH AFRICA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47C6-56A2-4143-A724-93C599B10B1E}">
  <sheetPr codeName="Sheet34"/>
  <dimension ref="A1:D21"/>
  <sheetViews>
    <sheetView tabSelected="1" zoomScale="175" zoomScaleNormal="175" workbookViewId="0">
      <selection activeCell="C4" sqref="C4"/>
    </sheetView>
  </sheetViews>
  <sheetFormatPr defaultRowHeight="14.5" x14ac:dyDescent="0.35"/>
  <cols>
    <col min="1" max="1" width="26.90625" bestFit="1" customWidth="1"/>
    <col min="4" max="4" width="18.54296875" bestFit="1" customWidth="1"/>
    <col min="5" max="5" width="26.453125" customWidth="1"/>
  </cols>
  <sheetData>
    <row r="1" spans="1:4" x14ac:dyDescent="0.35">
      <c r="A1" t="s">
        <v>138</v>
      </c>
      <c r="D1" t="s">
        <v>139</v>
      </c>
    </row>
    <row r="2" spans="1:4" x14ac:dyDescent="0.35">
      <c r="A2" t="s">
        <v>74</v>
      </c>
    </row>
    <row r="3" spans="1:4" x14ac:dyDescent="0.35">
      <c r="A3" t="s">
        <v>75</v>
      </c>
    </row>
    <row r="4" spans="1:4" x14ac:dyDescent="0.35">
      <c r="A4" t="s">
        <v>129</v>
      </c>
      <c r="D4" t="s">
        <v>259</v>
      </c>
    </row>
    <row r="5" spans="1:4" x14ac:dyDescent="0.35">
      <c r="A5" t="s">
        <v>76</v>
      </c>
    </row>
    <row r="6" spans="1:4" x14ac:dyDescent="0.35">
      <c r="A6" t="s">
        <v>77</v>
      </c>
    </row>
    <row r="7" spans="1:4" x14ac:dyDescent="0.35">
      <c r="A7" t="s">
        <v>130</v>
      </c>
    </row>
    <row r="8" spans="1:4" x14ac:dyDescent="0.35">
      <c r="A8" t="s">
        <v>78</v>
      </c>
    </row>
    <row r="9" spans="1:4" x14ac:dyDescent="0.35">
      <c r="A9" t="s">
        <v>79</v>
      </c>
    </row>
    <row r="10" spans="1:4" x14ac:dyDescent="0.35">
      <c r="A10" t="s">
        <v>80</v>
      </c>
    </row>
    <row r="11" spans="1:4" x14ac:dyDescent="0.35">
      <c r="A11" t="s">
        <v>81</v>
      </c>
    </row>
    <row r="12" spans="1:4" x14ac:dyDescent="0.35">
      <c r="A12" t="s">
        <v>131</v>
      </c>
    </row>
    <row r="13" spans="1:4" x14ac:dyDescent="0.35">
      <c r="A13" t="s">
        <v>132</v>
      </c>
    </row>
    <row r="14" spans="1:4" x14ac:dyDescent="0.35">
      <c r="A14" t="s">
        <v>133</v>
      </c>
    </row>
    <row r="15" spans="1:4" x14ac:dyDescent="0.35">
      <c r="A15" t="s">
        <v>82</v>
      </c>
    </row>
    <row r="16" spans="1:4" x14ac:dyDescent="0.35">
      <c r="A16" t="s">
        <v>83</v>
      </c>
    </row>
    <row r="17" spans="1:1" x14ac:dyDescent="0.35">
      <c r="A17" t="s">
        <v>134</v>
      </c>
    </row>
    <row r="18" spans="1:1" x14ac:dyDescent="0.35">
      <c r="A18" t="s">
        <v>84</v>
      </c>
    </row>
    <row r="19" spans="1:1" x14ac:dyDescent="0.35">
      <c r="A19" t="s">
        <v>135</v>
      </c>
    </row>
    <row r="20" spans="1:1" x14ac:dyDescent="0.35">
      <c r="A20" t="s">
        <v>136</v>
      </c>
    </row>
    <row r="21" spans="1:1" x14ac:dyDescent="0.35">
      <c r="A21" t="s">
        <v>137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 Remove Formatting</vt:lpstr>
      <vt:lpstr>02 Autofit Columns</vt:lpstr>
      <vt:lpstr>03 Sum and Difference</vt:lpstr>
      <vt:lpstr>04 Get the Net Income 1</vt:lpstr>
      <vt:lpstr>05 Sort by Country</vt:lpstr>
      <vt:lpstr>06 Finding Stable or Growth</vt:lpstr>
      <vt:lpstr>07 Conditionaly Color Remark</vt:lpstr>
      <vt:lpstr>08 Lookup Price</vt:lpstr>
      <vt:lpstr>09 Lookup Dept Name</vt:lpstr>
      <vt:lpstr>10 Combine Names</vt:lpstr>
      <vt:lpstr>10 Combine Names (2)</vt:lpstr>
      <vt:lpstr>11 Split Names</vt:lpstr>
      <vt:lpstr>11 Split Names (2)</vt:lpstr>
      <vt:lpstr>12 Show Country in Caps</vt:lpstr>
      <vt:lpstr>12 Show Country in Caps (2)</vt:lpstr>
      <vt:lpstr>13 Cricketers in 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Raza</dc:creator>
  <cp:lastModifiedBy>Mohammed Raza</cp:lastModifiedBy>
  <dcterms:created xsi:type="dcterms:W3CDTF">2015-06-05T18:17:20Z</dcterms:created>
  <dcterms:modified xsi:type="dcterms:W3CDTF">2025-12-08T10:58:20Z</dcterms:modified>
</cp:coreProperties>
</file>